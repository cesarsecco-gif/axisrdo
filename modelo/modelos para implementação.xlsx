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\SIS RDO\Relatorio-DER-PR 1.9\modelo\"/>
    </mc:Choice>
  </mc:AlternateContent>
  <xr:revisionPtr revIDLastSave="0" documentId="13_ncr:1_{5078CEE9-76AE-44BB-9158-440967935485}" xr6:coauthVersionLast="47" xr6:coauthVersionMax="47" xr10:uidLastSave="{00000000-0000-0000-0000-000000000000}"/>
  <bookViews>
    <workbookView xWindow="28680" yWindow="15" windowWidth="29040" windowHeight="15840" activeTab="2" xr2:uid="{CD3C12A2-AD8C-4D5A-B429-72B3466A043A}"/>
  </bookViews>
  <sheets>
    <sheet name="Equipe Técnica Exec." sheetId="2" r:id="rId1"/>
    <sheet name="efetivo" sheetId="3" r:id="rId2"/>
    <sheet name="Equipamentos" sheetId="4" r:id="rId3"/>
    <sheet name="Ação Corretiva" sheetId="5" r:id="rId4"/>
    <sheet name="Controle Pluv." sheetId="6" r:id="rId5"/>
  </sheets>
  <definedNames>
    <definedName name="_\z">#REF!</definedName>
    <definedName name="__________________________________________________________________________________________pas10">#REF!</definedName>
    <definedName name="__________________________________________________________________________________________pas200">#REF!</definedName>
    <definedName name="__________________________________________________________________________________________pas40">#REF!</definedName>
    <definedName name="________________________________________________________________________________________pas10">#REF!</definedName>
    <definedName name="________________________________________________________________________________________pas200">#REF!</definedName>
    <definedName name="________________________________________________________________________________________pas40">#REF!</definedName>
    <definedName name="______________________________________________________________________________________pas10">#REF!</definedName>
    <definedName name="______________________________________________________________________________________pas200">#REF!</definedName>
    <definedName name="______________________________________________________________________________________pas40">#REF!</definedName>
    <definedName name="_____________________________________________________________________________________pas10">#REF!</definedName>
    <definedName name="_____________________________________________________________________________________pas200">#REF!</definedName>
    <definedName name="_____________________________________________________________________________________pas40">#REF!</definedName>
    <definedName name="____________________________________________________________________________________pas10">#REF!</definedName>
    <definedName name="____________________________________________________________________________________pas200">#REF!</definedName>
    <definedName name="____________________________________________________________________________________pas40">#REF!</definedName>
    <definedName name="__________________________________________________________________________________pas10">#REF!</definedName>
    <definedName name="__________________________________________________________________________________pas200">#REF!</definedName>
    <definedName name="__________________________________________________________________________________pas40">#REF!</definedName>
    <definedName name="_________________________________________________________________________________pas10">#REF!</definedName>
    <definedName name="_________________________________________________________________________________pas200">#REF!</definedName>
    <definedName name="_________________________________________________________________________________pas40">#REF!</definedName>
    <definedName name="________________________________________________________________________________pas10">#REF!</definedName>
    <definedName name="________________________________________________________________________________pas200">#REF!</definedName>
    <definedName name="________________________________________________________________________________pas40">#REF!</definedName>
    <definedName name="________________________________________________________________________________Rbv1">#REF!</definedName>
    <definedName name="_______________________________________________________________________________pas10">#REF!</definedName>
    <definedName name="_______________________________________________________________________________pas200">#REF!</definedName>
    <definedName name="_______________________________________________________________________________pas40">#REF!</definedName>
    <definedName name="_______________________________________________________________________________Rbv1">#REF!</definedName>
    <definedName name="______________________________________________________________________________bri1">#REF!</definedName>
    <definedName name="______________________________________________________________________________bri2">#REF!</definedName>
    <definedName name="______________________________________________________________________________drb1">#REF!</definedName>
    <definedName name="______________________________________________________________________________drb2">#REF!</definedName>
    <definedName name="______________________________________________________________________________mat02">#REF!</definedName>
    <definedName name="______________________________________________________________________________mat03">#REF!</definedName>
    <definedName name="______________________________________________________________________________mat04">#REF!</definedName>
    <definedName name="______________________________________________________________________________mat05">#REF!</definedName>
    <definedName name="______________________________________________________________________________mat06">#REF!</definedName>
    <definedName name="______________________________________________________________________________pas10">#REF!</definedName>
    <definedName name="______________________________________________________________________________pas200">#REF!</definedName>
    <definedName name="______________________________________________________________________________pas40">#REF!</definedName>
    <definedName name="______________________________________________________________________________pen01">#REF!</definedName>
    <definedName name="______________________________________________________________________________pen02">#REF!</definedName>
    <definedName name="______________________________________________________________________________pen03">#REF!</definedName>
    <definedName name="______________________________________________________________________________pen04">#REF!</definedName>
    <definedName name="______________________________________________________________________________pen06">#REF!</definedName>
    <definedName name="______________________________________________________________________________pen07">#REF!</definedName>
    <definedName name="______________________________________________________________________________pen08">#REF!</definedName>
    <definedName name="______________________________________________________________________________pen09">#REF!</definedName>
    <definedName name="______________________________________________________________________________pen10">#REF!</definedName>
    <definedName name="______________________________________________________________________________pen40">#REF!</definedName>
    <definedName name="______________________________________________________________________________Rbv1">#REF!</definedName>
    <definedName name="_____________________________________________________________________________bri1">#REF!</definedName>
    <definedName name="_____________________________________________________________________________bri2">#REF!</definedName>
    <definedName name="_____________________________________________________________________________drb1">#REF!</definedName>
    <definedName name="_____________________________________________________________________________drb2">#REF!</definedName>
    <definedName name="_____________________________________________________________________________mat01">#REF!</definedName>
    <definedName name="_____________________________________________________________________________mat02">#REF!</definedName>
    <definedName name="_____________________________________________________________________________mat03">#REF!</definedName>
    <definedName name="_____________________________________________________________________________mat04">#REF!</definedName>
    <definedName name="_____________________________________________________________________________mat05">#REF!</definedName>
    <definedName name="_____________________________________________________________________________mat06">#REF!</definedName>
    <definedName name="_____________________________________________________________________________pas10">#REF!</definedName>
    <definedName name="_____________________________________________________________________________pas200">#REF!</definedName>
    <definedName name="_____________________________________________________________________________pas40">#REF!</definedName>
    <definedName name="_____________________________________________________________________________pen01">#REF!</definedName>
    <definedName name="_____________________________________________________________________________pen02">#REF!</definedName>
    <definedName name="_____________________________________________________________________________pen03">#REF!</definedName>
    <definedName name="_____________________________________________________________________________pen04">#REF!</definedName>
    <definedName name="_____________________________________________________________________________pen05">#REF!</definedName>
    <definedName name="_____________________________________________________________________________pen06">#REF!</definedName>
    <definedName name="_____________________________________________________________________________pen07">#REF!</definedName>
    <definedName name="_____________________________________________________________________________pen08">#REF!</definedName>
    <definedName name="_____________________________________________________________________________pen09">#REF!</definedName>
    <definedName name="_____________________________________________________________________________pen10">#REF!</definedName>
    <definedName name="_____________________________________________________________________________pen40">#REF!</definedName>
    <definedName name="_____________________________________________________________________________Rbv1">#REF!</definedName>
    <definedName name="____________________________________________________________________________bri1">#REF!</definedName>
    <definedName name="____________________________________________________________________________bri2">#REF!</definedName>
    <definedName name="____________________________________________________________________________drb1">#REF!</definedName>
    <definedName name="____________________________________________________________________________drb2">#REF!</definedName>
    <definedName name="____________________________________________________________________________mat01">#REF!</definedName>
    <definedName name="____________________________________________________________________________mat02">#REF!</definedName>
    <definedName name="____________________________________________________________________________mat03">#REF!</definedName>
    <definedName name="____________________________________________________________________________mat04">#REF!</definedName>
    <definedName name="____________________________________________________________________________mat05">#REF!</definedName>
    <definedName name="____________________________________________________________________________mat06">#REF!</definedName>
    <definedName name="____________________________________________________________________________pas10">#REF!</definedName>
    <definedName name="____________________________________________________________________________pas200">#REF!</definedName>
    <definedName name="____________________________________________________________________________pas40">#REF!</definedName>
    <definedName name="____________________________________________________________________________pen01">#REF!</definedName>
    <definedName name="____________________________________________________________________________pen02">#REF!</definedName>
    <definedName name="____________________________________________________________________________pen03">#REF!</definedName>
    <definedName name="____________________________________________________________________________pen04">#REF!</definedName>
    <definedName name="____________________________________________________________________________pen05">#REF!</definedName>
    <definedName name="____________________________________________________________________________pen06">#REF!</definedName>
    <definedName name="____________________________________________________________________________pen07">#REF!</definedName>
    <definedName name="____________________________________________________________________________pen08">#REF!</definedName>
    <definedName name="____________________________________________________________________________pen09">#REF!</definedName>
    <definedName name="____________________________________________________________________________pen10">#REF!</definedName>
    <definedName name="____________________________________________________________________________pen40">#REF!</definedName>
    <definedName name="____________________________________________________________________________Rbv1">#REF!</definedName>
    <definedName name="___________________________________________________________________________bri1">#REF!</definedName>
    <definedName name="___________________________________________________________________________bri2">#REF!</definedName>
    <definedName name="___________________________________________________________________________drb1">#REF!</definedName>
    <definedName name="___________________________________________________________________________drb2">#REF!</definedName>
    <definedName name="___________________________________________________________________________mat01">#REF!</definedName>
    <definedName name="___________________________________________________________________________mat02">#REF!</definedName>
    <definedName name="___________________________________________________________________________mat03">#REF!</definedName>
    <definedName name="___________________________________________________________________________mat04">#REF!</definedName>
    <definedName name="___________________________________________________________________________mat05">#REF!</definedName>
    <definedName name="___________________________________________________________________________mat06">#REF!</definedName>
    <definedName name="___________________________________________________________________________pas10">#REF!</definedName>
    <definedName name="___________________________________________________________________________pas200">#REF!</definedName>
    <definedName name="___________________________________________________________________________pas40">#REF!</definedName>
    <definedName name="___________________________________________________________________________pen01">#REF!</definedName>
    <definedName name="___________________________________________________________________________pen02">#REF!</definedName>
    <definedName name="___________________________________________________________________________pen03">#REF!</definedName>
    <definedName name="___________________________________________________________________________pen04">#REF!</definedName>
    <definedName name="___________________________________________________________________________pen05">#REF!</definedName>
    <definedName name="___________________________________________________________________________pen06">#REF!</definedName>
    <definedName name="___________________________________________________________________________pen07">#REF!</definedName>
    <definedName name="___________________________________________________________________________pen08">#REF!</definedName>
    <definedName name="___________________________________________________________________________pen09">#REF!</definedName>
    <definedName name="___________________________________________________________________________pen10">#REF!</definedName>
    <definedName name="___________________________________________________________________________pen40">#REF!</definedName>
    <definedName name="___________________________________________________________________________Rbv1">#REF!</definedName>
    <definedName name="__________________________________________________________________________bri1">#REF!</definedName>
    <definedName name="__________________________________________________________________________bri2">#REF!</definedName>
    <definedName name="__________________________________________________________________________drb1">#REF!</definedName>
    <definedName name="__________________________________________________________________________drb2">#REF!</definedName>
    <definedName name="__________________________________________________________________________mat01">#REF!</definedName>
    <definedName name="__________________________________________________________________________mat02">#REF!</definedName>
    <definedName name="__________________________________________________________________________mat03">#REF!</definedName>
    <definedName name="__________________________________________________________________________mat04">#REF!</definedName>
    <definedName name="__________________________________________________________________________mat05">#REF!</definedName>
    <definedName name="__________________________________________________________________________mat06">#REF!</definedName>
    <definedName name="__________________________________________________________________________pas10">#REF!</definedName>
    <definedName name="__________________________________________________________________________pas200">#REF!</definedName>
    <definedName name="__________________________________________________________________________pas40">#REF!</definedName>
    <definedName name="__________________________________________________________________________pen01">#REF!</definedName>
    <definedName name="__________________________________________________________________________pen02">#REF!</definedName>
    <definedName name="__________________________________________________________________________pen03">#REF!</definedName>
    <definedName name="__________________________________________________________________________pen04">#REF!</definedName>
    <definedName name="__________________________________________________________________________pen05">#REF!</definedName>
    <definedName name="__________________________________________________________________________pen06">#REF!</definedName>
    <definedName name="__________________________________________________________________________pen07">#REF!</definedName>
    <definedName name="__________________________________________________________________________pen08">#REF!</definedName>
    <definedName name="__________________________________________________________________________pen09">#REF!</definedName>
    <definedName name="__________________________________________________________________________pen10">#REF!</definedName>
    <definedName name="__________________________________________________________________________pen40">#REF!</definedName>
    <definedName name="__________________________________________________________________________Rbv1">#REF!</definedName>
    <definedName name="_________________________________________________________________________bri1">#REF!</definedName>
    <definedName name="_________________________________________________________________________bri2">#REF!</definedName>
    <definedName name="_________________________________________________________________________drb1">#REF!</definedName>
    <definedName name="_________________________________________________________________________drb2">#REF!</definedName>
    <definedName name="_________________________________________________________________________mat01">#REF!</definedName>
    <definedName name="_________________________________________________________________________mat02">#REF!</definedName>
    <definedName name="_________________________________________________________________________mat03">#REF!</definedName>
    <definedName name="_________________________________________________________________________mat04">#REF!</definedName>
    <definedName name="_________________________________________________________________________mat05">#REF!</definedName>
    <definedName name="_________________________________________________________________________mat06">#REF!</definedName>
    <definedName name="_________________________________________________________________________pas10">#REF!</definedName>
    <definedName name="_________________________________________________________________________pas200">#REF!</definedName>
    <definedName name="_________________________________________________________________________pas40">#REF!</definedName>
    <definedName name="_________________________________________________________________________pen01">#REF!</definedName>
    <definedName name="_________________________________________________________________________pen02">#REF!</definedName>
    <definedName name="_________________________________________________________________________pen03">#REF!</definedName>
    <definedName name="_________________________________________________________________________pen04">#REF!</definedName>
    <definedName name="_________________________________________________________________________pen05">#REF!</definedName>
    <definedName name="_________________________________________________________________________pen06">#REF!</definedName>
    <definedName name="_________________________________________________________________________pen07">#REF!</definedName>
    <definedName name="_________________________________________________________________________pen08">#REF!</definedName>
    <definedName name="_________________________________________________________________________pen09">#REF!</definedName>
    <definedName name="_________________________________________________________________________pen10">#REF!</definedName>
    <definedName name="_________________________________________________________________________pen40">#REF!</definedName>
    <definedName name="_________________________________________________________________________Rbv1">#REF!</definedName>
    <definedName name="________________________________________________________________________bri1">#REF!</definedName>
    <definedName name="________________________________________________________________________bri2">#REF!</definedName>
    <definedName name="________________________________________________________________________drb1">#REF!</definedName>
    <definedName name="________________________________________________________________________drb2">#REF!</definedName>
    <definedName name="________________________________________________________________________mat01">#REF!</definedName>
    <definedName name="________________________________________________________________________mat02">#REF!</definedName>
    <definedName name="________________________________________________________________________mat03">#REF!</definedName>
    <definedName name="________________________________________________________________________mat04">#REF!</definedName>
    <definedName name="________________________________________________________________________mat05">#REF!</definedName>
    <definedName name="________________________________________________________________________mat06">#REF!</definedName>
    <definedName name="________________________________________________________________________pas10">#REF!</definedName>
    <definedName name="________________________________________________________________________pas200">#REF!</definedName>
    <definedName name="________________________________________________________________________pas40">#REF!</definedName>
    <definedName name="________________________________________________________________________pen01">#REF!</definedName>
    <definedName name="________________________________________________________________________pen02">#REF!</definedName>
    <definedName name="________________________________________________________________________pen03">#REF!</definedName>
    <definedName name="________________________________________________________________________pen04">#REF!</definedName>
    <definedName name="________________________________________________________________________pen05">#REF!</definedName>
    <definedName name="________________________________________________________________________pen06">#REF!</definedName>
    <definedName name="________________________________________________________________________pen07">#REF!</definedName>
    <definedName name="________________________________________________________________________pen08">#REF!</definedName>
    <definedName name="________________________________________________________________________pen09">#REF!</definedName>
    <definedName name="________________________________________________________________________pen10">#REF!</definedName>
    <definedName name="________________________________________________________________________pen40">#REF!</definedName>
    <definedName name="________________________________________________________________________Rbv1">#REF!</definedName>
    <definedName name="_______________________________________________________________________bri1">#REF!</definedName>
    <definedName name="_______________________________________________________________________bri2">#REF!</definedName>
    <definedName name="_______________________________________________________________________drb1">#REF!</definedName>
    <definedName name="_______________________________________________________________________drb2">#REF!</definedName>
    <definedName name="_______________________________________________________________________mat01">#REF!</definedName>
    <definedName name="_______________________________________________________________________mat02">#REF!</definedName>
    <definedName name="_______________________________________________________________________mat03">#REF!</definedName>
    <definedName name="_______________________________________________________________________mat04">#REF!</definedName>
    <definedName name="_______________________________________________________________________mat05">#REF!</definedName>
    <definedName name="_______________________________________________________________________mat06">#REF!</definedName>
    <definedName name="_______________________________________________________________________pas10">#REF!</definedName>
    <definedName name="_______________________________________________________________________pas200">#REF!</definedName>
    <definedName name="_______________________________________________________________________pas40">#REF!</definedName>
    <definedName name="_______________________________________________________________________pen01">#REF!</definedName>
    <definedName name="_______________________________________________________________________pen02">#REF!</definedName>
    <definedName name="_______________________________________________________________________pen03">#REF!</definedName>
    <definedName name="_______________________________________________________________________pen04">#REF!</definedName>
    <definedName name="_______________________________________________________________________pen05">#REF!</definedName>
    <definedName name="_______________________________________________________________________pen06">#REF!</definedName>
    <definedName name="_______________________________________________________________________pen07">#REF!</definedName>
    <definedName name="_______________________________________________________________________pen08">#REF!</definedName>
    <definedName name="_______________________________________________________________________pen09">#REF!</definedName>
    <definedName name="_______________________________________________________________________pen10">#REF!</definedName>
    <definedName name="_______________________________________________________________________pen40">#REF!</definedName>
    <definedName name="_______________________________________________________________________Rbv1">#REF!</definedName>
    <definedName name="______________________________________________________________________bri1">#REF!</definedName>
    <definedName name="______________________________________________________________________bri2">#REF!</definedName>
    <definedName name="______________________________________________________________________drb1">#REF!</definedName>
    <definedName name="______________________________________________________________________drb2">#REF!</definedName>
    <definedName name="______________________________________________________________________mat01">#REF!</definedName>
    <definedName name="______________________________________________________________________mat02">#REF!</definedName>
    <definedName name="______________________________________________________________________mat03">#REF!</definedName>
    <definedName name="______________________________________________________________________mat04">#REF!</definedName>
    <definedName name="______________________________________________________________________mat05">#REF!</definedName>
    <definedName name="______________________________________________________________________mat06">#REF!</definedName>
    <definedName name="______________________________________________________________________pas10">#REF!</definedName>
    <definedName name="______________________________________________________________________pas200">#REF!</definedName>
    <definedName name="______________________________________________________________________pas40">#REF!</definedName>
    <definedName name="______________________________________________________________________pen01">#REF!</definedName>
    <definedName name="______________________________________________________________________pen02">#REF!</definedName>
    <definedName name="______________________________________________________________________pen03">#REF!</definedName>
    <definedName name="______________________________________________________________________pen04">#REF!</definedName>
    <definedName name="______________________________________________________________________pen05">#REF!</definedName>
    <definedName name="______________________________________________________________________pen06">#REF!</definedName>
    <definedName name="______________________________________________________________________pen07">#REF!</definedName>
    <definedName name="______________________________________________________________________pen08">#REF!</definedName>
    <definedName name="______________________________________________________________________pen09">#REF!</definedName>
    <definedName name="______________________________________________________________________pen10">#REF!</definedName>
    <definedName name="______________________________________________________________________pen40">#REF!</definedName>
    <definedName name="______________________________________________________________________Rbv1">#REF!</definedName>
    <definedName name="_____________________________________________________________________bri1">#REF!</definedName>
    <definedName name="_____________________________________________________________________bri2">#REF!</definedName>
    <definedName name="_____________________________________________________________________drb1">#REF!</definedName>
    <definedName name="_____________________________________________________________________drb2">#REF!</definedName>
    <definedName name="_____________________________________________________________________mat01">#REF!</definedName>
    <definedName name="_____________________________________________________________________mat02">#REF!</definedName>
    <definedName name="_____________________________________________________________________mat03">#REF!</definedName>
    <definedName name="_____________________________________________________________________mat04">#REF!</definedName>
    <definedName name="_____________________________________________________________________mat05">#REF!</definedName>
    <definedName name="_____________________________________________________________________mat06">#REF!</definedName>
    <definedName name="_____________________________________________________________________pas10">#REF!</definedName>
    <definedName name="_____________________________________________________________________pas200">#REF!</definedName>
    <definedName name="_____________________________________________________________________pas40">#REF!</definedName>
    <definedName name="_____________________________________________________________________pen01">#REF!</definedName>
    <definedName name="_____________________________________________________________________pen02">#REF!</definedName>
    <definedName name="_____________________________________________________________________pen03">#REF!</definedName>
    <definedName name="_____________________________________________________________________pen04">#REF!</definedName>
    <definedName name="_____________________________________________________________________pen05">#REF!</definedName>
    <definedName name="_____________________________________________________________________pen06">#REF!</definedName>
    <definedName name="_____________________________________________________________________pen07">#REF!</definedName>
    <definedName name="_____________________________________________________________________pen08">#REF!</definedName>
    <definedName name="_____________________________________________________________________pen09">#REF!</definedName>
    <definedName name="_____________________________________________________________________pen10">#REF!</definedName>
    <definedName name="_____________________________________________________________________pen40">#REF!</definedName>
    <definedName name="_____________________________________________________________________Rbv1">#REF!</definedName>
    <definedName name="____________________________________________________________________bri1">#REF!</definedName>
    <definedName name="____________________________________________________________________bri2">#REF!</definedName>
    <definedName name="____________________________________________________________________drb1">#REF!</definedName>
    <definedName name="____________________________________________________________________drb2">#REF!</definedName>
    <definedName name="____________________________________________________________________mat01">#REF!</definedName>
    <definedName name="____________________________________________________________________mat02">#REF!</definedName>
    <definedName name="____________________________________________________________________mat03">#REF!</definedName>
    <definedName name="____________________________________________________________________mat04">#REF!</definedName>
    <definedName name="____________________________________________________________________mat05">#REF!</definedName>
    <definedName name="____________________________________________________________________mat06">#REF!</definedName>
    <definedName name="____________________________________________________________________pas10">#REF!</definedName>
    <definedName name="____________________________________________________________________pas200">#REF!</definedName>
    <definedName name="____________________________________________________________________pas40">#REF!</definedName>
    <definedName name="____________________________________________________________________pen01">#REF!</definedName>
    <definedName name="____________________________________________________________________pen02">#REF!</definedName>
    <definedName name="____________________________________________________________________pen03">#REF!</definedName>
    <definedName name="____________________________________________________________________pen04">#REF!</definedName>
    <definedName name="____________________________________________________________________pen05">#REF!</definedName>
    <definedName name="____________________________________________________________________pen06">#REF!</definedName>
    <definedName name="____________________________________________________________________pen07">#REF!</definedName>
    <definedName name="____________________________________________________________________pen08">#REF!</definedName>
    <definedName name="____________________________________________________________________pen09">#REF!</definedName>
    <definedName name="____________________________________________________________________pen10">#REF!</definedName>
    <definedName name="____________________________________________________________________pen40">#REF!</definedName>
    <definedName name="____________________________________________________________________Rbv1">#REF!</definedName>
    <definedName name="___________________________________________________________________bri1">#REF!</definedName>
    <definedName name="___________________________________________________________________bri2">#REF!</definedName>
    <definedName name="___________________________________________________________________drb1">#REF!</definedName>
    <definedName name="___________________________________________________________________drb2">#REF!</definedName>
    <definedName name="___________________________________________________________________mat01">#REF!</definedName>
    <definedName name="___________________________________________________________________mat02">#REF!</definedName>
    <definedName name="___________________________________________________________________mat03">#REF!</definedName>
    <definedName name="___________________________________________________________________mat04">#REF!</definedName>
    <definedName name="___________________________________________________________________mat05">#REF!</definedName>
    <definedName name="___________________________________________________________________mat06">#REF!</definedName>
    <definedName name="___________________________________________________________________pas10">#REF!</definedName>
    <definedName name="___________________________________________________________________pas200">#REF!</definedName>
    <definedName name="___________________________________________________________________pas40">#REF!</definedName>
    <definedName name="___________________________________________________________________pen01">#REF!</definedName>
    <definedName name="___________________________________________________________________pen02">#REF!</definedName>
    <definedName name="___________________________________________________________________pen03">#REF!</definedName>
    <definedName name="___________________________________________________________________pen04">#REF!</definedName>
    <definedName name="___________________________________________________________________pen05">#REF!</definedName>
    <definedName name="___________________________________________________________________pen06">#REF!</definedName>
    <definedName name="___________________________________________________________________pen07">#REF!</definedName>
    <definedName name="___________________________________________________________________pen08">#REF!</definedName>
    <definedName name="___________________________________________________________________pen09">#REF!</definedName>
    <definedName name="___________________________________________________________________pen10">#REF!</definedName>
    <definedName name="___________________________________________________________________pen40">#REF!</definedName>
    <definedName name="___________________________________________________________________Rbv1">#REF!</definedName>
    <definedName name="__________________________________________________________________bri1">#REF!</definedName>
    <definedName name="__________________________________________________________________bri2">#REF!</definedName>
    <definedName name="__________________________________________________________________drb1">#REF!</definedName>
    <definedName name="__________________________________________________________________drb2">#REF!</definedName>
    <definedName name="__________________________________________________________________mat01">#REF!</definedName>
    <definedName name="__________________________________________________________________mat02">#REF!</definedName>
    <definedName name="__________________________________________________________________mat03">#REF!</definedName>
    <definedName name="__________________________________________________________________mat04">#REF!</definedName>
    <definedName name="__________________________________________________________________mat05">#REF!</definedName>
    <definedName name="__________________________________________________________________mat06">#REF!</definedName>
    <definedName name="__________________________________________________________________pas10">#REF!</definedName>
    <definedName name="__________________________________________________________________pas200">#REF!</definedName>
    <definedName name="__________________________________________________________________pas40">#REF!</definedName>
    <definedName name="__________________________________________________________________pen01">#REF!</definedName>
    <definedName name="__________________________________________________________________pen02">#REF!</definedName>
    <definedName name="__________________________________________________________________pen03">#REF!</definedName>
    <definedName name="__________________________________________________________________pen04">#REF!</definedName>
    <definedName name="__________________________________________________________________pen05">#REF!</definedName>
    <definedName name="__________________________________________________________________pen06">#REF!</definedName>
    <definedName name="__________________________________________________________________pen07">#REF!</definedName>
    <definedName name="__________________________________________________________________pen08">#REF!</definedName>
    <definedName name="__________________________________________________________________pen09">#REF!</definedName>
    <definedName name="__________________________________________________________________pen10">#REF!</definedName>
    <definedName name="__________________________________________________________________pen40">#REF!</definedName>
    <definedName name="__________________________________________________________________Rbv1">#REF!</definedName>
    <definedName name="_________________________________________________________________bri1">#REF!</definedName>
    <definedName name="_________________________________________________________________bri2">#REF!</definedName>
    <definedName name="_________________________________________________________________drb1">#REF!</definedName>
    <definedName name="_________________________________________________________________drb2">#REF!</definedName>
    <definedName name="_________________________________________________________________mat01">#REF!</definedName>
    <definedName name="_________________________________________________________________mat02">#REF!</definedName>
    <definedName name="_________________________________________________________________mat03">#REF!</definedName>
    <definedName name="_________________________________________________________________mat04">#REF!</definedName>
    <definedName name="_________________________________________________________________mat05">#REF!</definedName>
    <definedName name="_________________________________________________________________mat06">#REF!</definedName>
    <definedName name="_________________________________________________________________pas10">#REF!</definedName>
    <definedName name="_________________________________________________________________pas200">#REF!</definedName>
    <definedName name="_________________________________________________________________pas40">#REF!</definedName>
    <definedName name="_________________________________________________________________pen01">#REF!</definedName>
    <definedName name="_________________________________________________________________pen02">#REF!</definedName>
    <definedName name="_________________________________________________________________pen03">#REF!</definedName>
    <definedName name="_________________________________________________________________pen04">#REF!</definedName>
    <definedName name="_________________________________________________________________pen05">#REF!</definedName>
    <definedName name="_________________________________________________________________pen06">#REF!</definedName>
    <definedName name="_________________________________________________________________pen07">#REF!</definedName>
    <definedName name="_________________________________________________________________pen08">#REF!</definedName>
    <definedName name="_________________________________________________________________pen09">#REF!</definedName>
    <definedName name="_________________________________________________________________pen10">#REF!</definedName>
    <definedName name="_________________________________________________________________pen40">#REF!</definedName>
    <definedName name="_________________________________________________________________Rbv1">#REF!</definedName>
    <definedName name="________________________________________________________________bri1">#REF!</definedName>
    <definedName name="________________________________________________________________bri2">#REF!</definedName>
    <definedName name="________________________________________________________________drb1">#REF!</definedName>
    <definedName name="________________________________________________________________drb2">#REF!</definedName>
    <definedName name="________________________________________________________________mat01">#REF!</definedName>
    <definedName name="________________________________________________________________mat02">#REF!</definedName>
    <definedName name="________________________________________________________________mat03">#REF!</definedName>
    <definedName name="________________________________________________________________mat04">#REF!</definedName>
    <definedName name="________________________________________________________________mat05">#REF!</definedName>
    <definedName name="________________________________________________________________mat06">#REF!</definedName>
    <definedName name="________________________________________________________________pas10">#REF!</definedName>
    <definedName name="________________________________________________________________pas200">#REF!</definedName>
    <definedName name="________________________________________________________________pas40">#REF!</definedName>
    <definedName name="________________________________________________________________pen01">#REF!</definedName>
    <definedName name="________________________________________________________________pen02">#REF!</definedName>
    <definedName name="________________________________________________________________pen03">#REF!</definedName>
    <definedName name="________________________________________________________________pen04">#REF!</definedName>
    <definedName name="________________________________________________________________pen05">#REF!</definedName>
    <definedName name="________________________________________________________________pen06">#REF!</definedName>
    <definedName name="________________________________________________________________pen07">#REF!</definedName>
    <definedName name="________________________________________________________________pen08">#REF!</definedName>
    <definedName name="________________________________________________________________pen09">#REF!</definedName>
    <definedName name="________________________________________________________________pen10">#REF!</definedName>
    <definedName name="________________________________________________________________pen40">#REF!</definedName>
    <definedName name="________________________________________________________________Rbv1">#REF!</definedName>
    <definedName name="_______________________________________________________________bri1">#REF!</definedName>
    <definedName name="_______________________________________________________________bri2">#REF!</definedName>
    <definedName name="_______________________________________________________________drb1">#REF!</definedName>
    <definedName name="_______________________________________________________________drb2">#REF!</definedName>
    <definedName name="_______________________________________________________________mat01">#REF!</definedName>
    <definedName name="_______________________________________________________________mat02">#REF!</definedName>
    <definedName name="_______________________________________________________________mat03">#REF!</definedName>
    <definedName name="_______________________________________________________________mat04">#REF!</definedName>
    <definedName name="_______________________________________________________________mat05">#REF!</definedName>
    <definedName name="_______________________________________________________________mat06">#REF!</definedName>
    <definedName name="_______________________________________________________________pas10">#REF!</definedName>
    <definedName name="_______________________________________________________________pas200">#REF!</definedName>
    <definedName name="_______________________________________________________________pas40">#REF!</definedName>
    <definedName name="_______________________________________________________________pen01">#REF!</definedName>
    <definedName name="_______________________________________________________________pen02">#REF!</definedName>
    <definedName name="_______________________________________________________________pen03">#REF!</definedName>
    <definedName name="_______________________________________________________________pen04">#REF!</definedName>
    <definedName name="_______________________________________________________________pen05">#REF!</definedName>
    <definedName name="_______________________________________________________________pen06">#REF!</definedName>
    <definedName name="_______________________________________________________________pen07">#REF!</definedName>
    <definedName name="_______________________________________________________________pen08">#REF!</definedName>
    <definedName name="_______________________________________________________________pen09">#REF!</definedName>
    <definedName name="_______________________________________________________________pen10">#REF!</definedName>
    <definedName name="_______________________________________________________________pen40">#REF!</definedName>
    <definedName name="_______________________________________________________________Rbv1">#REF!</definedName>
    <definedName name="______________________________________________________________bri1">#REF!</definedName>
    <definedName name="______________________________________________________________bri2">#REF!</definedName>
    <definedName name="______________________________________________________________drb1">#REF!</definedName>
    <definedName name="______________________________________________________________drb2">#REF!</definedName>
    <definedName name="______________________________________________________________mat01">#REF!</definedName>
    <definedName name="______________________________________________________________mat02">#REF!</definedName>
    <definedName name="______________________________________________________________mat03">#REF!</definedName>
    <definedName name="______________________________________________________________mat04">#REF!</definedName>
    <definedName name="______________________________________________________________mat05">#REF!</definedName>
    <definedName name="______________________________________________________________mat06">#REF!</definedName>
    <definedName name="______________________________________________________________pen01">#REF!</definedName>
    <definedName name="______________________________________________________________pen02">#REF!</definedName>
    <definedName name="______________________________________________________________pen03">#REF!</definedName>
    <definedName name="______________________________________________________________pen04">#REF!</definedName>
    <definedName name="______________________________________________________________pen05">#REF!</definedName>
    <definedName name="______________________________________________________________pen06">#REF!</definedName>
    <definedName name="______________________________________________________________pen07">#REF!</definedName>
    <definedName name="______________________________________________________________pen08">#REF!</definedName>
    <definedName name="______________________________________________________________pen09">#REF!</definedName>
    <definedName name="______________________________________________________________pen10">#REF!</definedName>
    <definedName name="______________________________________________________________pen40">#REF!</definedName>
    <definedName name="______________________________________________________________Rbv1">#REF!</definedName>
    <definedName name="_____________________________________________________________bri1">#REF!</definedName>
    <definedName name="_____________________________________________________________bri2">#REF!</definedName>
    <definedName name="_____________________________________________________________drb1">#REF!</definedName>
    <definedName name="_____________________________________________________________drb2">#REF!</definedName>
    <definedName name="_____________________________________________________________mat01">#REF!</definedName>
    <definedName name="_____________________________________________________________mat02">#REF!</definedName>
    <definedName name="_____________________________________________________________mat03">#REF!</definedName>
    <definedName name="_____________________________________________________________mat04">#REF!</definedName>
    <definedName name="_____________________________________________________________mat05">#REF!</definedName>
    <definedName name="_____________________________________________________________mat06">#REF!</definedName>
    <definedName name="_____________________________________________________________pas10">#REF!</definedName>
    <definedName name="_____________________________________________________________pas200">#REF!</definedName>
    <definedName name="_____________________________________________________________pas40">#REF!</definedName>
    <definedName name="_____________________________________________________________pen01">#REF!</definedName>
    <definedName name="_____________________________________________________________pen02">#REF!</definedName>
    <definedName name="_____________________________________________________________pen03">#REF!</definedName>
    <definedName name="_____________________________________________________________pen04">#REF!</definedName>
    <definedName name="_____________________________________________________________pen05">#REF!</definedName>
    <definedName name="_____________________________________________________________pen06">#REF!</definedName>
    <definedName name="_____________________________________________________________pen07">#REF!</definedName>
    <definedName name="_____________________________________________________________pen08">#REF!</definedName>
    <definedName name="_____________________________________________________________pen09">#REF!</definedName>
    <definedName name="_____________________________________________________________pen10">#REF!</definedName>
    <definedName name="_____________________________________________________________pen40">#REF!</definedName>
    <definedName name="_____________________________________________________________Rbv1">#REF!</definedName>
    <definedName name="____________________________________________________________bri1">#REF!</definedName>
    <definedName name="____________________________________________________________bri2">#REF!</definedName>
    <definedName name="____________________________________________________________drb1">#REF!</definedName>
    <definedName name="____________________________________________________________drb2">#REF!</definedName>
    <definedName name="____________________________________________________________mat01">#REF!</definedName>
    <definedName name="____________________________________________________________mat02">#REF!</definedName>
    <definedName name="____________________________________________________________mat03">#REF!</definedName>
    <definedName name="____________________________________________________________mat04">#REF!</definedName>
    <definedName name="____________________________________________________________mat05">#REF!</definedName>
    <definedName name="____________________________________________________________mat06">#REF!</definedName>
    <definedName name="____________________________________________________________pas10">#REF!</definedName>
    <definedName name="____________________________________________________________pas200">#REF!</definedName>
    <definedName name="____________________________________________________________pas40">#REF!</definedName>
    <definedName name="____________________________________________________________pen01">#REF!</definedName>
    <definedName name="____________________________________________________________pen02">#REF!</definedName>
    <definedName name="____________________________________________________________pen03">#REF!</definedName>
    <definedName name="____________________________________________________________pen04">#REF!</definedName>
    <definedName name="____________________________________________________________pen05">#REF!</definedName>
    <definedName name="____________________________________________________________pen06">#REF!</definedName>
    <definedName name="____________________________________________________________pen07">#REF!</definedName>
    <definedName name="____________________________________________________________pen08">#REF!</definedName>
    <definedName name="____________________________________________________________pen09">#REF!</definedName>
    <definedName name="____________________________________________________________pen10">#REF!</definedName>
    <definedName name="____________________________________________________________pen40">#REF!</definedName>
    <definedName name="____________________________________________________________Rbv1">#REF!</definedName>
    <definedName name="___________________________________________________________bri1">#REF!</definedName>
    <definedName name="___________________________________________________________bri2">#REF!</definedName>
    <definedName name="___________________________________________________________drb1">#REF!</definedName>
    <definedName name="___________________________________________________________drb2">#REF!</definedName>
    <definedName name="___________________________________________________________mat01">#REF!</definedName>
    <definedName name="___________________________________________________________mat02">#REF!</definedName>
    <definedName name="___________________________________________________________mat03">#REF!</definedName>
    <definedName name="___________________________________________________________mat04">#REF!</definedName>
    <definedName name="___________________________________________________________mat05">#REF!</definedName>
    <definedName name="___________________________________________________________mat06">#REF!</definedName>
    <definedName name="___________________________________________________________pas10">#REF!</definedName>
    <definedName name="___________________________________________________________pas200">#REF!</definedName>
    <definedName name="___________________________________________________________pas40">#REF!</definedName>
    <definedName name="___________________________________________________________pen01">#REF!</definedName>
    <definedName name="___________________________________________________________pen02">#REF!</definedName>
    <definedName name="___________________________________________________________pen03">#REF!</definedName>
    <definedName name="___________________________________________________________pen04">#REF!</definedName>
    <definedName name="___________________________________________________________pen05">#REF!</definedName>
    <definedName name="___________________________________________________________pen06">#REF!</definedName>
    <definedName name="___________________________________________________________pen07">#REF!</definedName>
    <definedName name="___________________________________________________________pen08">#REF!</definedName>
    <definedName name="___________________________________________________________pen09">#REF!</definedName>
    <definedName name="___________________________________________________________pen10">#REF!</definedName>
    <definedName name="___________________________________________________________pen40">#REF!</definedName>
    <definedName name="___________________________________________________________Rbv1">#REF!</definedName>
    <definedName name="__________________________________________________________bri1">#REF!</definedName>
    <definedName name="__________________________________________________________bri2">#REF!</definedName>
    <definedName name="__________________________________________________________drb1">#REF!</definedName>
    <definedName name="__________________________________________________________drb2">#REF!</definedName>
    <definedName name="__________________________________________________________mat01">#REF!</definedName>
    <definedName name="__________________________________________________________mat02">#REF!</definedName>
    <definedName name="__________________________________________________________mat03">#REF!</definedName>
    <definedName name="__________________________________________________________mat04">#REF!</definedName>
    <definedName name="__________________________________________________________mat05">#REF!</definedName>
    <definedName name="__________________________________________________________mat06">#REF!</definedName>
    <definedName name="__________________________________________________________pas10">#REF!</definedName>
    <definedName name="__________________________________________________________pas200">#REF!</definedName>
    <definedName name="__________________________________________________________pas40">#REF!</definedName>
    <definedName name="__________________________________________________________pen01">#REF!</definedName>
    <definedName name="__________________________________________________________pen02">#REF!</definedName>
    <definedName name="__________________________________________________________pen03">#REF!</definedName>
    <definedName name="__________________________________________________________pen04">#REF!</definedName>
    <definedName name="__________________________________________________________pen05">#REF!</definedName>
    <definedName name="__________________________________________________________pen06">#REF!</definedName>
    <definedName name="__________________________________________________________pen07">#REF!</definedName>
    <definedName name="__________________________________________________________pen08">#REF!</definedName>
    <definedName name="__________________________________________________________pen09">#REF!</definedName>
    <definedName name="__________________________________________________________pen10">#REF!</definedName>
    <definedName name="__________________________________________________________pen40">#REF!</definedName>
    <definedName name="__________________________________________________________Rbv1">#REF!</definedName>
    <definedName name="_________________________________________________________bri1">#REF!</definedName>
    <definedName name="_________________________________________________________bri2">#REF!</definedName>
    <definedName name="_________________________________________________________drb1">#REF!</definedName>
    <definedName name="_________________________________________________________drb2">#REF!</definedName>
    <definedName name="_________________________________________________________mat01">#REF!</definedName>
    <definedName name="_________________________________________________________mat02">#REF!</definedName>
    <definedName name="_________________________________________________________mat03">#REF!</definedName>
    <definedName name="_________________________________________________________mat04">#REF!</definedName>
    <definedName name="_________________________________________________________mat05">#REF!</definedName>
    <definedName name="_________________________________________________________mat06">#REF!</definedName>
    <definedName name="_________________________________________________________pas10">#REF!</definedName>
    <definedName name="_________________________________________________________pas200">#REF!</definedName>
    <definedName name="_________________________________________________________pas40">#REF!</definedName>
    <definedName name="_________________________________________________________pen01">#REF!</definedName>
    <definedName name="_________________________________________________________pen02">#REF!</definedName>
    <definedName name="_________________________________________________________pen03">#REF!</definedName>
    <definedName name="_________________________________________________________pen04">#REF!</definedName>
    <definedName name="_________________________________________________________pen05">#REF!</definedName>
    <definedName name="_________________________________________________________pen06">#REF!</definedName>
    <definedName name="_________________________________________________________pen07">#REF!</definedName>
    <definedName name="_________________________________________________________pen08">#REF!</definedName>
    <definedName name="_________________________________________________________pen09">#REF!</definedName>
    <definedName name="_________________________________________________________pen10">#REF!</definedName>
    <definedName name="_________________________________________________________pen40">#REF!</definedName>
    <definedName name="_________________________________________________________Rbv1">#REF!</definedName>
    <definedName name="________________________________________________________bri1">#REF!</definedName>
    <definedName name="________________________________________________________bri2">#REF!</definedName>
    <definedName name="________________________________________________________drb1">#REF!</definedName>
    <definedName name="________________________________________________________drb2">#REF!</definedName>
    <definedName name="________________________________________________________mat01">#REF!</definedName>
    <definedName name="________________________________________________________mat02">#REF!</definedName>
    <definedName name="________________________________________________________mat03">#REF!</definedName>
    <definedName name="________________________________________________________mat04">#REF!</definedName>
    <definedName name="________________________________________________________mat05">#REF!</definedName>
    <definedName name="________________________________________________________mat06">#REF!</definedName>
    <definedName name="________________________________________________________pas10">#REF!</definedName>
    <definedName name="________________________________________________________pas200">#REF!</definedName>
    <definedName name="________________________________________________________pas40">#REF!</definedName>
    <definedName name="________________________________________________________pen01">#REF!</definedName>
    <definedName name="________________________________________________________pen02">#REF!</definedName>
    <definedName name="________________________________________________________pen03">#REF!</definedName>
    <definedName name="________________________________________________________pen04">#REF!</definedName>
    <definedName name="________________________________________________________pen05">#REF!</definedName>
    <definedName name="________________________________________________________pen06">#REF!</definedName>
    <definedName name="________________________________________________________pen07">#REF!</definedName>
    <definedName name="________________________________________________________pen08">#REF!</definedName>
    <definedName name="________________________________________________________pen09">#REF!</definedName>
    <definedName name="________________________________________________________pen10">#REF!</definedName>
    <definedName name="________________________________________________________pen40">#REF!</definedName>
    <definedName name="________________________________________________________Rbv1">#REF!</definedName>
    <definedName name="_______________________________________________________bri1">#REF!</definedName>
    <definedName name="_______________________________________________________bri2">#REF!</definedName>
    <definedName name="_______________________________________________________drb1">#REF!</definedName>
    <definedName name="_______________________________________________________drb2">#REF!</definedName>
    <definedName name="_______________________________________________________mat01">#REF!</definedName>
    <definedName name="_______________________________________________________mat02">#REF!</definedName>
    <definedName name="_______________________________________________________mat03">#REF!</definedName>
    <definedName name="_______________________________________________________mat04">#REF!</definedName>
    <definedName name="_______________________________________________________mat05">#REF!</definedName>
    <definedName name="_______________________________________________________mat06">#REF!</definedName>
    <definedName name="_______________________________________________________pas10">#REF!</definedName>
    <definedName name="_______________________________________________________pas200">#REF!</definedName>
    <definedName name="_______________________________________________________pas40">#REF!</definedName>
    <definedName name="_______________________________________________________pen01">#REF!</definedName>
    <definedName name="_______________________________________________________pen02">#REF!</definedName>
    <definedName name="_______________________________________________________pen03">#REF!</definedName>
    <definedName name="_______________________________________________________pen04">#REF!</definedName>
    <definedName name="_______________________________________________________pen05">#REF!</definedName>
    <definedName name="_______________________________________________________pen06">#REF!</definedName>
    <definedName name="_______________________________________________________pen07">#REF!</definedName>
    <definedName name="_______________________________________________________pen08">#REF!</definedName>
    <definedName name="_______________________________________________________pen09">#REF!</definedName>
    <definedName name="_______________________________________________________pen10">#REF!</definedName>
    <definedName name="_______________________________________________________pen40">#REF!</definedName>
    <definedName name="_______________________________________________________Rbv1">#REF!</definedName>
    <definedName name="______________________________________________________bri1">#REF!</definedName>
    <definedName name="______________________________________________________bri2">#REF!</definedName>
    <definedName name="______________________________________________________drb1">#REF!</definedName>
    <definedName name="______________________________________________________drb2">#REF!</definedName>
    <definedName name="______________________________________________________mat01">#REF!</definedName>
    <definedName name="______________________________________________________mat02">#REF!</definedName>
    <definedName name="______________________________________________________mat03">#REF!</definedName>
    <definedName name="______________________________________________________mat04">#REF!</definedName>
    <definedName name="______________________________________________________mat05">#REF!</definedName>
    <definedName name="______________________________________________________mat06">#REF!</definedName>
    <definedName name="______________________________________________________pas10">#REF!</definedName>
    <definedName name="______________________________________________________pas200">#REF!</definedName>
    <definedName name="______________________________________________________pas40">#REF!</definedName>
    <definedName name="______________________________________________________pen01">#REF!</definedName>
    <definedName name="______________________________________________________pen02">#REF!</definedName>
    <definedName name="______________________________________________________pen03">#REF!</definedName>
    <definedName name="______________________________________________________pen04">#REF!</definedName>
    <definedName name="______________________________________________________pen05">#REF!</definedName>
    <definedName name="______________________________________________________pen06">#REF!</definedName>
    <definedName name="______________________________________________________pen07">#REF!</definedName>
    <definedName name="______________________________________________________pen08">#REF!</definedName>
    <definedName name="______________________________________________________pen09">#REF!</definedName>
    <definedName name="______________________________________________________pen10">#REF!</definedName>
    <definedName name="______________________________________________________pen40">#REF!</definedName>
    <definedName name="______________________________________________________Rbv1">#REF!</definedName>
    <definedName name="_____________________________________________________bri1">#REF!</definedName>
    <definedName name="_____________________________________________________bri2">#REF!</definedName>
    <definedName name="_____________________________________________________drb1">#REF!</definedName>
    <definedName name="_____________________________________________________drb2">#REF!</definedName>
    <definedName name="_____________________________________________________mat01">#REF!</definedName>
    <definedName name="_____________________________________________________mat02">#REF!</definedName>
    <definedName name="_____________________________________________________mat03">#REF!</definedName>
    <definedName name="_____________________________________________________mat04">#REF!</definedName>
    <definedName name="_____________________________________________________mat05">#REF!</definedName>
    <definedName name="_____________________________________________________mat06">#REF!</definedName>
    <definedName name="_____________________________________________________pas10">#REF!</definedName>
    <definedName name="_____________________________________________________pas200">#REF!</definedName>
    <definedName name="_____________________________________________________pas40">#REF!</definedName>
    <definedName name="_____________________________________________________pen01">#REF!</definedName>
    <definedName name="_____________________________________________________pen02">#REF!</definedName>
    <definedName name="_____________________________________________________pen03">#REF!</definedName>
    <definedName name="_____________________________________________________pen04">#REF!</definedName>
    <definedName name="_____________________________________________________pen05">#REF!</definedName>
    <definedName name="_____________________________________________________pen06">#REF!</definedName>
    <definedName name="_____________________________________________________pen07">#REF!</definedName>
    <definedName name="_____________________________________________________pen08">#REF!</definedName>
    <definedName name="_____________________________________________________pen09">#REF!</definedName>
    <definedName name="_____________________________________________________pen10">#REF!</definedName>
    <definedName name="_____________________________________________________pen40">#REF!</definedName>
    <definedName name="_____________________________________________________Rbv1">#REF!</definedName>
    <definedName name="____________________________________________________bri1">#REF!</definedName>
    <definedName name="____________________________________________________bri2">#REF!</definedName>
    <definedName name="____________________________________________________drb1">#REF!</definedName>
    <definedName name="____________________________________________________drb2">#REF!</definedName>
    <definedName name="____________________________________________________mat01">#REF!</definedName>
    <definedName name="____________________________________________________mat02">#REF!</definedName>
    <definedName name="____________________________________________________mat03">#REF!</definedName>
    <definedName name="____________________________________________________mat04">#REF!</definedName>
    <definedName name="____________________________________________________mat05">#REF!</definedName>
    <definedName name="____________________________________________________mat06">#REF!</definedName>
    <definedName name="____________________________________________________pen01">#REF!</definedName>
    <definedName name="____________________________________________________pen02">#REF!</definedName>
    <definedName name="____________________________________________________pen03">#REF!</definedName>
    <definedName name="____________________________________________________pen04">#REF!</definedName>
    <definedName name="____________________________________________________pen05">#REF!</definedName>
    <definedName name="____________________________________________________pen06">#REF!</definedName>
    <definedName name="____________________________________________________pen07">#REF!</definedName>
    <definedName name="____________________________________________________pen08">#REF!</definedName>
    <definedName name="____________________________________________________pen09">#REF!</definedName>
    <definedName name="____________________________________________________pen10">#REF!</definedName>
    <definedName name="____________________________________________________pen40">#REF!</definedName>
    <definedName name="____________________________________________________Rbv1">#REF!</definedName>
    <definedName name="___________________________________________________bri1">#REF!</definedName>
    <definedName name="___________________________________________________bri2">#REF!</definedName>
    <definedName name="___________________________________________________drb1">#REF!</definedName>
    <definedName name="___________________________________________________drb2">#REF!</definedName>
    <definedName name="___________________________________________________mat01">#REF!</definedName>
    <definedName name="___________________________________________________mat02">#REF!</definedName>
    <definedName name="___________________________________________________mat03">#REF!</definedName>
    <definedName name="___________________________________________________mat04">#REF!</definedName>
    <definedName name="___________________________________________________mat05">#REF!</definedName>
    <definedName name="___________________________________________________mat06">#REF!</definedName>
    <definedName name="___________________________________________________pas10">#REF!</definedName>
    <definedName name="___________________________________________________pas200">#REF!</definedName>
    <definedName name="___________________________________________________pas40">#REF!</definedName>
    <definedName name="___________________________________________________pen01">#REF!</definedName>
    <definedName name="___________________________________________________pen02">#REF!</definedName>
    <definedName name="___________________________________________________pen03">#REF!</definedName>
    <definedName name="___________________________________________________pen04">#REF!</definedName>
    <definedName name="___________________________________________________pen05">#REF!</definedName>
    <definedName name="___________________________________________________pen06">#REF!</definedName>
    <definedName name="___________________________________________________pen07">#REF!</definedName>
    <definedName name="___________________________________________________pen08">#REF!</definedName>
    <definedName name="___________________________________________________pen09">#REF!</definedName>
    <definedName name="___________________________________________________pen10">#REF!</definedName>
    <definedName name="___________________________________________________pen40">#REF!</definedName>
    <definedName name="___________________________________________________Rbv1">#REF!</definedName>
    <definedName name="__________________________________________________bri1">#REF!</definedName>
    <definedName name="__________________________________________________bri2">#REF!</definedName>
    <definedName name="__________________________________________________drb1">#REF!</definedName>
    <definedName name="__________________________________________________drb2">#REF!</definedName>
    <definedName name="__________________________________________________mat01">#REF!</definedName>
    <definedName name="__________________________________________________mat02">#REF!</definedName>
    <definedName name="__________________________________________________mat03">#REF!</definedName>
    <definedName name="__________________________________________________mat04">#REF!</definedName>
    <definedName name="__________________________________________________mat05">#REF!</definedName>
    <definedName name="__________________________________________________mat06">#REF!</definedName>
    <definedName name="__________________________________________________pas10">#REF!</definedName>
    <definedName name="__________________________________________________pas200">#REF!</definedName>
    <definedName name="__________________________________________________pas40">#REF!</definedName>
    <definedName name="__________________________________________________pen01">#REF!</definedName>
    <definedName name="__________________________________________________pen02">#REF!</definedName>
    <definedName name="__________________________________________________pen03">#REF!</definedName>
    <definedName name="__________________________________________________pen04">#REF!</definedName>
    <definedName name="__________________________________________________pen05">#REF!</definedName>
    <definedName name="__________________________________________________pen06">#REF!</definedName>
    <definedName name="__________________________________________________pen07">#REF!</definedName>
    <definedName name="__________________________________________________pen08">#REF!</definedName>
    <definedName name="__________________________________________________pen09">#REF!</definedName>
    <definedName name="__________________________________________________pen10">#REF!</definedName>
    <definedName name="__________________________________________________pen40">#REF!</definedName>
    <definedName name="__________________________________________________Rbv1">#REF!</definedName>
    <definedName name="_________________________________________________bri1">#REF!</definedName>
    <definedName name="_________________________________________________bri2">#REF!</definedName>
    <definedName name="_________________________________________________drb1">#REF!</definedName>
    <definedName name="_________________________________________________drb2">#REF!</definedName>
    <definedName name="_________________________________________________mat01">#REF!</definedName>
    <definedName name="_________________________________________________mat02">#REF!</definedName>
    <definedName name="_________________________________________________mat03">#REF!</definedName>
    <definedName name="_________________________________________________mat04">#REF!</definedName>
    <definedName name="_________________________________________________mat05">#REF!</definedName>
    <definedName name="_________________________________________________mat06">#REF!</definedName>
    <definedName name="_________________________________________________pas10">#REF!</definedName>
    <definedName name="_________________________________________________pas200">#REF!</definedName>
    <definedName name="_________________________________________________pas40">#REF!</definedName>
    <definedName name="_________________________________________________pen01">#REF!</definedName>
    <definedName name="_________________________________________________pen02">#REF!</definedName>
    <definedName name="_________________________________________________pen03">#REF!</definedName>
    <definedName name="_________________________________________________pen04">#REF!</definedName>
    <definedName name="_________________________________________________pen05">#REF!</definedName>
    <definedName name="_________________________________________________pen06">#REF!</definedName>
    <definedName name="_________________________________________________pen07">#REF!</definedName>
    <definedName name="_________________________________________________pen08">#REF!</definedName>
    <definedName name="_________________________________________________pen09">#REF!</definedName>
    <definedName name="_________________________________________________pen10">#REF!</definedName>
    <definedName name="_________________________________________________pen40">#REF!</definedName>
    <definedName name="_________________________________________________Rbv1">#REF!</definedName>
    <definedName name="________________________________________________bri1">#REF!</definedName>
    <definedName name="________________________________________________bri2">#REF!</definedName>
    <definedName name="________________________________________________drb1">#REF!</definedName>
    <definedName name="________________________________________________drb2">#REF!</definedName>
    <definedName name="________________________________________________mat01">#REF!</definedName>
    <definedName name="________________________________________________mat02">#REF!</definedName>
    <definedName name="________________________________________________mat03">#REF!</definedName>
    <definedName name="________________________________________________mat04">#REF!</definedName>
    <definedName name="________________________________________________mat05">#REF!</definedName>
    <definedName name="________________________________________________mat06">#REF!</definedName>
    <definedName name="________________________________________________pas10">#REF!</definedName>
    <definedName name="________________________________________________pas200">#REF!</definedName>
    <definedName name="________________________________________________pas40">#REF!</definedName>
    <definedName name="________________________________________________pen01">#REF!</definedName>
    <definedName name="________________________________________________pen02">#REF!</definedName>
    <definedName name="________________________________________________pen03">#REF!</definedName>
    <definedName name="________________________________________________pen04">#REF!</definedName>
    <definedName name="________________________________________________pen05">#REF!</definedName>
    <definedName name="________________________________________________pen06">#REF!</definedName>
    <definedName name="________________________________________________pen07">#REF!</definedName>
    <definedName name="________________________________________________pen08">#REF!</definedName>
    <definedName name="________________________________________________pen09">#REF!</definedName>
    <definedName name="________________________________________________pen10">#REF!</definedName>
    <definedName name="________________________________________________pen40">#REF!</definedName>
    <definedName name="________________________________________________Rbv1">#REF!</definedName>
    <definedName name="_______________________________________________bri1">#REF!</definedName>
    <definedName name="_______________________________________________bri2">#REF!</definedName>
    <definedName name="_______________________________________________drb1">#REF!</definedName>
    <definedName name="_______________________________________________drb2">#REF!</definedName>
    <definedName name="_______________________________________________mat01">#REF!</definedName>
    <definedName name="_______________________________________________mat02">#REF!</definedName>
    <definedName name="_______________________________________________mat03">#REF!</definedName>
    <definedName name="_______________________________________________mat04">#REF!</definedName>
    <definedName name="_______________________________________________mat05">#REF!</definedName>
    <definedName name="_______________________________________________mat06">#REF!</definedName>
    <definedName name="_______________________________________________pas10">#REF!</definedName>
    <definedName name="_______________________________________________pas200">#REF!</definedName>
    <definedName name="_______________________________________________pas40">#REF!</definedName>
    <definedName name="_______________________________________________pen01">#REF!</definedName>
    <definedName name="_______________________________________________pen02">#REF!</definedName>
    <definedName name="_______________________________________________pen03">#REF!</definedName>
    <definedName name="_______________________________________________pen04">#REF!</definedName>
    <definedName name="_______________________________________________pen05">#REF!</definedName>
    <definedName name="_______________________________________________pen06">#REF!</definedName>
    <definedName name="_______________________________________________pen07">#REF!</definedName>
    <definedName name="_______________________________________________pen08">#REF!</definedName>
    <definedName name="_______________________________________________pen09">#REF!</definedName>
    <definedName name="_______________________________________________pen10">#REF!</definedName>
    <definedName name="_______________________________________________pen40">#REF!</definedName>
    <definedName name="_______________________________________________Rbv1">#REF!</definedName>
    <definedName name="______________________________________________bri1">#REF!</definedName>
    <definedName name="______________________________________________bri2">#REF!</definedName>
    <definedName name="______________________________________________drb1">#REF!</definedName>
    <definedName name="______________________________________________drb2">#REF!</definedName>
    <definedName name="______________________________________________mat01">#REF!</definedName>
    <definedName name="______________________________________________mat02">#REF!</definedName>
    <definedName name="______________________________________________mat03">#REF!</definedName>
    <definedName name="______________________________________________mat04">#REF!</definedName>
    <definedName name="______________________________________________mat05">#REF!</definedName>
    <definedName name="______________________________________________mat06">#REF!</definedName>
    <definedName name="______________________________________________pas10">#REF!</definedName>
    <definedName name="______________________________________________pas200">#REF!</definedName>
    <definedName name="______________________________________________pas40">#REF!</definedName>
    <definedName name="______________________________________________pen01">#REF!</definedName>
    <definedName name="______________________________________________pen02">#REF!</definedName>
    <definedName name="______________________________________________pen03">#REF!</definedName>
    <definedName name="______________________________________________pen04">#REF!</definedName>
    <definedName name="______________________________________________pen05">#REF!</definedName>
    <definedName name="______________________________________________pen06">#REF!</definedName>
    <definedName name="______________________________________________pen07">#REF!</definedName>
    <definedName name="______________________________________________pen08">#REF!</definedName>
    <definedName name="______________________________________________pen09">#REF!</definedName>
    <definedName name="______________________________________________pen10">#REF!</definedName>
    <definedName name="______________________________________________pen40">#REF!</definedName>
    <definedName name="______________________________________________Rbv1">#REF!</definedName>
    <definedName name="_____________________________________________bri1">#REF!</definedName>
    <definedName name="_____________________________________________bri2">#REF!</definedName>
    <definedName name="_____________________________________________drb1">#REF!</definedName>
    <definedName name="_____________________________________________drb2">#REF!</definedName>
    <definedName name="_____________________________________________mat01">#REF!</definedName>
    <definedName name="_____________________________________________mat02">#REF!</definedName>
    <definedName name="_____________________________________________mat03">#REF!</definedName>
    <definedName name="_____________________________________________mat04">#REF!</definedName>
    <definedName name="_____________________________________________mat05">#REF!</definedName>
    <definedName name="_____________________________________________mat06">#REF!</definedName>
    <definedName name="_____________________________________________pas10">#REF!</definedName>
    <definedName name="_____________________________________________pas200">#REF!</definedName>
    <definedName name="_____________________________________________pas40">#REF!</definedName>
    <definedName name="_____________________________________________pen01">#REF!</definedName>
    <definedName name="_____________________________________________pen02">#REF!</definedName>
    <definedName name="_____________________________________________pen03">#REF!</definedName>
    <definedName name="_____________________________________________pen04">#REF!</definedName>
    <definedName name="_____________________________________________pen05">#REF!</definedName>
    <definedName name="_____________________________________________pen06">#REF!</definedName>
    <definedName name="_____________________________________________pen07">#REF!</definedName>
    <definedName name="_____________________________________________pen08">#REF!</definedName>
    <definedName name="_____________________________________________pen09">#REF!</definedName>
    <definedName name="_____________________________________________pen10">#REF!</definedName>
    <definedName name="_____________________________________________pen40">#REF!</definedName>
    <definedName name="_____________________________________________Rbv1">#REF!</definedName>
    <definedName name="____________________________________________bri1">#REF!</definedName>
    <definedName name="____________________________________________bri2">#REF!</definedName>
    <definedName name="____________________________________________drb1">#REF!</definedName>
    <definedName name="____________________________________________drb2">#REF!</definedName>
    <definedName name="____________________________________________mat01">#REF!</definedName>
    <definedName name="____________________________________________mat02">#REF!</definedName>
    <definedName name="____________________________________________mat03">#REF!</definedName>
    <definedName name="____________________________________________mat04">#REF!</definedName>
    <definedName name="____________________________________________mat05">#REF!</definedName>
    <definedName name="____________________________________________mat06">#REF!</definedName>
    <definedName name="____________________________________________pas10">#REF!</definedName>
    <definedName name="____________________________________________pas200">#REF!</definedName>
    <definedName name="____________________________________________pas40">#REF!</definedName>
    <definedName name="____________________________________________pen01">#REF!</definedName>
    <definedName name="____________________________________________pen02">#REF!</definedName>
    <definedName name="____________________________________________pen03">#REF!</definedName>
    <definedName name="____________________________________________pen04">#REF!</definedName>
    <definedName name="____________________________________________pen05">#REF!</definedName>
    <definedName name="____________________________________________pen06">#REF!</definedName>
    <definedName name="____________________________________________pen07">#REF!</definedName>
    <definedName name="____________________________________________pen08">#REF!</definedName>
    <definedName name="____________________________________________pen09">#REF!</definedName>
    <definedName name="____________________________________________pen10">#REF!</definedName>
    <definedName name="____________________________________________pen40">#REF!</definedName>
    <definedName name="____________________________________________Rbv1">#REF!</definedName>
    <definedName name="___________________________________________bri1">#REF!</definedName>
    <definedName name="___________________________________________bri2">#REF!</definedName>
    <definedName name="___________________________________________drb1">#REF!</definedName>
    <definedName name="___________________________________________drb2">#REF!</definedName>
    <definedName name="___________________________________________mat01">#REF!</definedName>
    <definedName name="___________________________________________mat02">#REF!</definedName>
    <definedName name="___________________________________________mat03">#REF!</definedName>
    <definedName name="___________________________________________mat04">#REF!</definedName>
    <definedName name="___________________________________________mat05">#REF!</definedName>
    <definedName name="___________________________________________mat06">#REF!</definedName>
    <definedName name="___________________________________________pas10">#REF!</definedName>
    <definedName name="___________________________________________pas200">#REF!</definedName>
    <definedName name="___________________________________________pas40">#REF!</definedName>
    <definedName name="___________________________________________pen01">#REF!</definedName>
    <definedName name="___________________________________________pen02">#REF!</definedName>
    <definedName name="___________________________________________pen03">#REF!</definedName>
    <definedName name="___________________________________________pen04">#REF!</definedName>
    <definedName name="___________________________________________pen05">#REF!</definedName>
    <definedName name="___________________________________________pen06">#REF!</definedName>
    <definedName name="___________________________________________pen07">#REF!</definedName>
    <definedName name="___________________________________________pen08">#REF!</definedName>
    <definedName name="___________________________________________pen09">#REF!</definedName>
    <definedName name="___________________________________________pen10">#REF!</definedName>
    <definedName name="___________________________________________pen40">#REF!</definedName>
    <definedName name="___________________________________________Rbv1">#REF!</definedName>
    <definedName name="__________________________________________bri1">#REF!</definedName>
    <definedName name="__________________________________________bri2">#REF!</definedName>
    <definedName name="__________________________________________drb1">#REF!</definedName>
    <definedName name="__________________________________________drb2">#REF!</definedName>
    <definedName name="__________________________________________mat01">#REF!</definedName>
    <definedName name="__________________________________________mat02">#REF!</definedName>
    <definedName name="__________________________________________mat03">#REF!</definedName>
    <definedName name="__________________________________________mat04">#REF!</definedName>
    <definedName name="__________________________________________mat05">#REF!</definedName>
    <definedName name="__________________________________________mat06">#REF!</definedName>
    <definedName name="__________________________________________pas10">#REF!</definedName>
    <definedName name="__________________________________________pas200">#REF!</definedName>
    <definedName name="__________________________________________pas40">#REF!</definedName>
    <definedName name="__________________________________________pen01">#REF!</definedName>
    <definedName name="__________________________________________pen02">#REF!</definedName>
    <definedName name="__________________________________________pen03">#REF!</definedName>
    <definedName name="__________________________________________pen04">#REF!</definedName>
    <definedName name="__________________________________________pen05">#REF!</definedName>
    <definedName name="__________________________________________pen06">#REF!</definedName>
    <definedName name="__________________________________________pen07">#REF!</definedName>
    <definedName name="__________________________________________pen08">#REF!</definedName>
    <definedName name="__________________________________________pen09">#REF!</definedName>
    <definedName name="__________________________________________pen10">#REF!</definedName>
    <definedName name="__________________________________________pen40">#REF!</definedName>
    <definedName name="__________________________________________Rbv1">#REF!</definedName>
    <definedName name="_________________________________________bri1">#REF!</definedName>
    <definedName name="_________________________________________bri2">#REF!</definedName>
    <definedName name="_________________________________________drb1">#REF!</definedName>
    <definedName name="_________________________________________drb2">#REF!</definedName>
    <definedName name="_________________________________________mat01">#REF!</definedName>
    <definedName name="_________________________________________mat02">#REF!</definedName>
    <definedName name="_________________________________________mat03">#REF!</definedName>
    <definedName name="_________________________________________mat04">#REF!</definedName>
    <definedName name="_________________________________________mat05">#REF!</definedName>
    <definedName name="_________________________________________mat06">#REF!</definedName>
    <definedName name="_________________________________________pas10" localSheetId="4">#REF!</definedName>
    <definedName name="_________________________________________pas10" localSheetId="2">#REF!</definedName>
    <definedName name="_________________________________________pas10">#REF!</definedName>
    <definedName name="_________________________________________pas200" localSheetId="4">#REF!</definedName>
    <definedName name="_________________________________________pas200" localSheetId="2">#REF!</definedName>
    <definedName name="_________________________________________pas200">#REF!</definedName>
    <definedName name="_________________________________________pas40" localSheetId="4">#REF!</definedName>
    <definedName name="_________________________________________pas40" localSheetId="2">#REF!</definedName>
    <definedName name="_________________________________________pas40">#REF!</definedName>
    <definedName name="_________________________________________pen01">#REF!</definedName>
    <definedName name="_________________________________________pen02">#REF!</definedName>
    <definedName name="_________________________________________pen03">#REF!</definedName>
    <definedName name="_________________________________________pen04">#REF!</definedName>
    <definedName name="_________________________________________pen05">#REF!</definedName>
    <definedName name="_________________________________________pen06">#REF!</definedName>
    <definedName name="_________________________________________pen07">#REF!</definedName>
    <definedName name="_________________________________________pen08">#REF!</definedName>
    <definedName name="_________________________________________pen09">#REF!</definedName>
    <definedName name="_________________________________________pen10">#REF!</definedName>
    <definedName name="_________________________________________pen40">#REF!</definedName>
    <definedName name="_________________________________________Rbv1">#REF!</definedName>
    <definedName name="________________________________________bri1">#REF!</definedName>
    <definedName name="________________________________________bri2">#REF!</definedName>
    <definedName name="________________________________________drb1">#REF!</definedName>
    <definedName name="________________________________________drb2">#REF!</definedName>
    <definedName name="________________________________________mat01">#REF!</definedName>
    <definedName name="________________________________________mat02">#REF!</definedName>
    <definedName name="________________________________________mat03">#REF!</definedName>
    <definedName name="________________________________________mat04">#REF!</definedName>
    <definedName name="________________________________________mat05">#REF!</definedName>
    <definedName name="________________________________________mat06">#REF!</definedName>
    <definedName name="________________________________________pas10" localSheetId="4">#REF!</definedName>
    <definedName name="________________________________________pas10">#REF!</definedName>
    <definedName name="________________________________________pas200" localSheetId="4">#REF!</definedName>
    <definedName name="________________________________________pas200">#REF!</definedName>
    <definedName name="________________________________________pas40" localSheetId="4">#REF!</definedName>
    <definedName name="________________________________________pas40">#REF!</definedName>
    <definedName name="________________________________________pen01">#REF!</definedName>
    <definedName name="________________________________________pen02">#REF!</definedName>
    <definedName name="________________________________________pen03">#REF!</definedName>
    <definedName name="________________________________________pen04">#REF!</definedName>
    <definedName name="________________________________________pen05">#REF!</definedName>
    <definedName name="________________________________________pen06">#REF!</definedName>
    <definedName name="________________________________________pen07">#REF!</definedName>
    <definedName name="________________________________________pen08">#REF!</definedName>
    <definedName name="________________________________________pen09">#REF!</definedName>
    <definedName name="________________________________________pen10">#REF!</definedName>
    <definedName name="________________________________________pen40">#REF!</definedName>
    <definedName name="________________________________________Rbv1">#REF!</definedName>
    <definedName name="_______________________________________bri1">#REF!</definedName>
    <definedName name="_______________________________________bri2">#REF!</definedName>
    <definedName name="_______________________________________drb1">#REF!</definedName>
    <definedName name="_______________________________________drb2">#REF!</definedName>
    <definedName name="_______________________________________mat01">#REF!</definedName>
    <definedName name="_______________________________________mat02">#REF!</definedName>
    <definedName name="_______________________________________mat03">#REF!</definedName>
    <definedName name="_______________________________________mat04">#REF!</definedName>
    <definedName name="_______________________________________mat05">#REF!</definedName>
    <definedName name="_______________________________________mat06">#REF!</definedName>
    <definedName name="_______________________________________pas10">#REF!</definedName>
    <definedName name="_______________________________________pas200">#REF!</definedName>
    <definedName name="_______________________________________pas40">#REF!</definedName>
    <definedName name="_______________________________________pen01">#REF!</definedName>
    <definedName name="_______________________________________pen02">#REF!</definedName>
    <definedName name="_______________________________________pen03">#REF!</definedName>
    <definedName name="_______________________________________pen04">#REF!</definedName>
    <definedName name="_______________________________________pen05">#REF!</definedName>
    <definedName name="_______________________________________pen06">#REF!</definedName>
    <definedName name="_______________________________________pen07">#REF!</definedName>
    <definedName name="_______________________________________pen08">#REF!</definedName>
    <definedName name="_______________________________________pen09">#REF!</definedName>
    <definedName name="_______________________________________pen10">#REF!</definedName>
    <definedName name="_______________________________________pen40">#REF!</definedName>
    <definedName name="_______________________________________Rbv1">#REF!</definedName>
    <definedName name="______________________________________bri1">#REF!</definedName>
    <definedName name="______________________________________bri2">#REF!</definedName>
    <definedName name="______________________________________drb1">#REF!</definedName>
    <definedName name="______________________________________drb2">#REF!</definedName>
    <definedName name="______________________________________mat01">#REF!</definedName>
    <definedName name="______________________________________mat02">#REF!</definedName>
    <definedName name="______________________________________mat03">#REF!</definedName>
    <definedName name="______________________________________mat04">#REF!</definedName>
    <definedName name="______________________________________mat05">#REF!</definedName>
    <definedName name="______________________________________mat06">#REF!</definedName>
    <definedName name="______________________________________pas10">#REF!</definedName>
    <definedName name="______________________________________pas200">#REF!</definedName>
    <definedName name="______________________________________pas40">#REF!</definedName>
    <definedName name="______________________________________pen01">#REF!</definedName>
    <definedName name="______________________________________pen02">#REF!</definedName>
    <definedName name="______________________________________pen03">#REF!</definedName>
    <definedName name="______________________________________pen04">#REF!</definedName>
    <definedName name="______________________________________pen05">#REF!</definedName>
    <definedName name="______________________________________pen06">#REF!</definedName>
    <definedName name="______________________________________pen07">#REF!</definedName>
    <definedName name="______________________________________pen08">#REF!</definedName>
    <definedName name="______________________________________pen09">#REF!</definedName>
    <definedName name="______________________________________pen10">#REF!</definedName>
    <definedName name="______________________________________pen40">#REF!</definedName>
    <definedName name="______________________________________Rbv1">#REF!</definedName>
    <definedName name="_____________________________________bri1">#REF!</definedName>
    <definedName name="_____________________________________bri2">#REF!</definedName>
    <definedName name="_____________________________________drb1">#REF!</definedName>
    <definedName name="_____________________________________drb2">#REF!</definedName>
    <definedName name="_____________________________________mat01">#REF!</definedName>
    <definedName name="_____________________________________mat02">#REF!</definedName>
    <definedName name="_____________________________________mat03">#REF!</definedName>
    <definedName name="_____________________________________mat04">#REF!</definedName>
    <definedName name="_____________________________________mat05">#REF!</definedName>
    <definedName name="_____________________________________mat06">#REF!</definedName>
    <definedName name="_____________________________________pas10" localSheetId="4">#REF!</definedName>
    <definedName name="_____________________________________pas10">#REF!</definedName>
    <definedName name="_____________________________________pas200" localSheetId="4">#REF!</definedName>
    <definedName name="_____________________________________pas200">#REF!</definedName>
    <definedName name="_____________________________________pas40" localSheetId="4">#REF!</definedName>
    <definedName name="_____________________________________pas40">#REF!</definedName>
    <definedName name="_____________________________________pen01">#REF!</definedName>
    <definedName name="_____________________________________pen02">#REF!</definedName>
    <definedName name="_____________________________________pen03">#REF!</definedName>
    <definedName name="_____________________________________pen04">#REF!</definedName>
    <definedName name="_____________________________________pen05">#REF!</definedName>
    <definedName name="_____________________________________pen06">#REF!</definedName>
    <definedName name="_____________________________________pen07">#REF!</definedName>
    <definedName name="_____________________________________pen08">#REF!</definedName>
    <definedName name="_____________________________________pen09">#REF!</definedName>
    <definedName name="_____________________________________pen10">#REF!</definedName>
    <definedName name="_____________________________________pen40">#REF!</definedName>
    <definedName name="_____________________________________Rbv1">#REF!</definedName>
    <definedName name="____________________________________bri1">#REF!</definedName>
    <definedName name="____________________________________bri2">#REF!</definedName>
    <definedName name="____________________________________drb1">#REF!</definedName>
    <definedName name="____________________________________drb2">#REF!</definedName>
    <definedName name="____________________________________mat01">#REF!</definedName>
    <definedName name="____________________________________mat02">#REF!</definedName>
    <definedName name="____________________________________mat03">#REF!</definedName>
    <definedName name="____________________________________mat04">#REF!</definedName>
    <definedName name="____________________________________mat05">#REF!</definedName>
    <definedName name="____________________________________mat06">#REF!</definedName>
    <definedName name="____________________________________pas10">#REF!</definedName>
    <definedName name="____________________________________pas200">#REF!</definedName>
    <definedName name="____________________________________pas40">#REF!</definedName>
    <definedName name="____________________________________pen01">#REF!</definedName>
    <definedName name="____________________________________pen02">#REF!</definedName>
    <definedName name="____________________________________pen03">#REF!</definedName>
    <definedName name="____________________________________pen04">#REF!</definedName>
    <definedName name="____________________________________pen05">#REF!</definedName>
    <definedName name="____________________________________pen06">#REF!</definedName>
    <definedName name="____________________________________pen07">#REF!</definedName>
    <definedName name="____________________________________pen08">#REF!</definedName>
    <definedName name="____________________________________pen09">#REF!</definedName>
    <definedName name="____________________________________pen10">#REF!</definedName>
    <definedName name="____________________________________pen40">#REF!</definedName>
    <definedName name="____________________________________Rbv1">#REF!</definedName>
    <definedName name="___________________________________bri1">#REF!</definedName>
    <definedName name="___________________________________bri2">#REF!</definedName>
    <definedName name="___________________________________drb1">#REF!</definedName>
    <definedName name="___________________________________drb2">#REF!</definedName>
    <definedName name="___________________________________mat01">#REF!</definedName>
    <definedName name="___________________________________mat02">#REF!</definedName>
    <definedName name="___________________________________mat03">#REF!</definedName>
    <definedName name="___________________________________mat04">#REF!</definedName>
    <definedName name="___________________________________mat05">#REF!</definedName>
    <definedName name="___________________________________mat06">#REF!</definedName>
    <definedName name="___________________________________pas10" localSheetId="4">#REF!</definedName>
    <definedName name="___________________________________pas10" localSheetId="2">#REF!</definedName>
    <definedName name="___________________________________pas10">#REF!</definedName>
    <definedName name="___________________________________pas200" localSheetId="4">#REF!</definedName>
    <definedName name="___________________________________pas200" localSheetId="2">#REF!</definedName>
    <definedName name="___________________________________pas200">#REF!</definedName>
    <definedName name="___________________________________pas40" localSheetId="4">#REF!</definedName>
    <definedName name="___________________________________pas40" localSheetId="2">#REF!</definedName>
    <definedName name="___________________________________pas40">#REF!</definedName>
    <definedName name="___________________________________pen01">#REF!</definedName>
    <definedName name="___________________________________pen02">#REF!</definedName>
    <definedName name="___________________________________pen03">#REF!</definedName>
    <definedName name="___________________________________pen04">#REF!</definedName>
    <definedName name="___________________________________pen05">#REF!</definedName>
    <definedName name="___________________________________pen06">#REF!</definedName>
    <definedName name="___________________________________pen07">#REF!</definedName>
    <definedName name="___________________________________pen08">#REF!</definedName>
    <definedName name="___________________________________pen09">#REF!</definedName>
    <definedName name="___________________________________pen10">#REF!</definedName>
    <definedName name="___________________________________pen40">#REF!</definedName>
    <definedName name="___________________________________Rbv1">#REF!</definedName>
    <definedName name="__________________________________bri1" localSheetId="4">#REF!</definedName>
    <definedName name="__________________________________bri1" localSheetId="2">#REF!</definedName>
    <definedName name="__________________________________bri1">#REF!</definedName>
    <definedName name="__________________________________bri2" localSheetId="4">#REF!</definedName>
    <definedName name="__________________________________bri2" localSheetId="2">#REF!</definedName>
    <definedName name="__________________________________bri2">#REF!</definedName>
    <definedName name="__________________________________drb1">#REF!</definedName>
    <definedName name="__________________________________drb2" localSheetId="4">#REF!</definedName>
    <definedName name="__________________________________drb2" localSheetId="2">#REF!</definedName>
    <definedName name="__________________________________drb2">#REF!</definedName>
    <definedName name="__________________________________mat01">#REF!</definedName>
    <definedName name="__________________________________mat02">#REF!</definedName>
    <definedName name="__________________________________mat03">#REF!</definedName>
    <definedName name="__________________________________mat04">#REF!</definedName>
    <definedName name="__________________________________mat05">#REF!</definedName>
    <definedName name="__________________________________mat06">#REF!</definedName>
    <definedName name="__________________________________pas10" localSheetId="4">#REF!</definedName>
    <definedName name="__________________________________pas10" localSheetId="2">#REF!</definedName>
    <definedName name="__________________________________pas10">#REF!</definedName>
    <definedName name="__________________________________pas200" localSheetId="4">#REF!</definedName>
    <definedName name="__________________________________pas200" localSheetId="2">#REF!</definedName>
    <definedName name="__________________________________pas200">#REF!</definedName>
    <definedName name="__________________________________pas40" localSheetId="4">#REF!</definedName>
    <definedName name="__________________________________pas40" localSheetId="2">#REF!</definedName>
    <definedName name="__________________________________pas40">#REF!</definedName>
    <definedName name="__________________________________pen01">#REF!</definedName>
    <definedName name="__________________________________pen02">#REF!</definedName>
    <definedName name="__________________________________pen03">#REF!</definedName>
    <definedName name="__________________________________pen04">#REF!</definedName>
    <definedName name="__________________________________pen05">#REF!</definedName>
    <definedName name="__________________________________pen06">#REF!</definedName>
    <definedName name="__________________________________pen07">#REF!</definedName>
    <definedName name="__________________________________pen08">#REF!</definedName>
    <definedName name="__________________________________pen09">#REF!</definedName>
    <definedName name="__________________________________pen10">#REF!</definedName>
    <definedName name="__________________________________pen40">#REF!</definedName>
    <definedName name="__________________________________Rbv1">#REF!</definedName>
    <definedName name="_________________________________bri1" localSheetId="4">#REF!</definedName>
    <definedName name="_________________________________bri1" localSheetId="2">#REF!</definedName>
    <definedName name="_________________________________bri1">#REF!</definedName>
    <definedName name="_________________________________bri2" localSheetId="4">#REF!</definedName>
    <definedName name="_________________________________bri2" localSheetId="2">#REF!</definedName>
    <definedName name="_________________________________bri2">#REF!</definedName>
    <definedName name="_________________________________drb1">#REF!</definedName>
    <definedName name="_________________________________drb2" localSheetId="4">#REF!</definedName>
    <definedName name="_________________________________drb2" localSheetId="2">#REF!</definedName>
    <definedName name="_________________________________drb2">#REF!</definedName>
    <definedName name="_________________________________mat01">#REF!</definedName>
    <definedName name="_________________________________mat02">#REF!</definedName>
    <definedName name="_________________________________mat03">#REF!</definedName>
    <definedName name="_________________________________mat04">#REF!</definedName>
    <definedName name="_________________________________mat05">#REF!</definedName>
    <definedName name="_________________________________mat06">#REF!</definedName>
    <definedName name="_________________________________pas10" localSheetId="4">#REF!</definedName>
    <definedName name="_________________________________pas10" localSheetId="2">#REF!</definedName>
    <definedName name="_________________________________pas10">#REF!</definedName>
    <definedName name="_________________________________pas200" localSheetId="4">#REF!</definedName>
    <definedName name="_________________________________pas200" localSheetId="2">#REF!</definedName>
    <definedName name="_________________________________pas200">#REF!</definedName>
    <definedName name="_________________________________pas40" localSheetId="4">#REF!</definedName>
    <definedName name="_________________________________pas40" localSheetId="2">#REF!</definedName>
    <definedName name="_________________________________pas40">#REF!</definedName>
    <definedName name="_________________________________pen01">#REF!</definedName>
    <definedName name="_________________________________pen02">#REF!</definedName>
    <definedName name="_________________________________pen03">#REF!</definedName>
    <definedName name="_________________________________pen04">#REF!</definedName>
    <definedName name="_________________________________pen05">#REF!</definedName>
    <definedName name="_________________________________pen06">#REF!</definedName>
    <definedName name="_________________________________pen07">#REF!</definedName>
    <definedName name="_________________________________pen08">#REF!</definedName>
    <definedName name="_________________________________pen09">#REF!</definedName>
    <definedName name="_________________________________pen10">#REF!</definedName>
    <definedName name="_________________________________pen40">#REF!</definedName>
    <definedName name="_________________________________Rbv1">#REF!</definedName>
    <definedName name="________________________________bri1" localSheetId="4">#REF!</definedName>
    <definedName name="________________________________bri1" localSheetId="2">#REF!</definedName>
    <definedName name="________________________________bri1">#REF!</definedName>
    <definedName name="________________________________bri2" localSheetId="4">#REF!</definedName>
    <definedName name="________________________________bri2" localSheetId="2">#REF!</definedName>
    <definedName name="________________________________bri2">#REF!</definedName>
    <definedName name="________________________________drb1">#REF!</definedName>
    <definedName name="________________________________drb2" localSheetId="4">#REF!</definedName>
    <definedName name="________________________________drb2" localSheetId="2">#REF!</definedName>
    <definedName name="________________________________drb2">#REF!</definedName>
    <definedName name="________________________________mat01">#REF!</definedName>
    <definedName name="________________________________mat02">#REF!</definedName>
    <definedName name="________________________________mat03">#REF!</definedName>
    <definedName name="________________________________mat04">#REF!</definedName>
    <definedName name="________________________________mat05">#REF!</definedName>
    <definedName name="________________________________mat06">#REF!</definedName>
    <definedName name="________________________________pas10">#REF!</definedName>
    <definedName name="________________________________pas200">#REF!</definedName>
    <definedName name="________________________________pas40">#REF!</definedName>
    <definedName name="________________________________pen01">#REF!</definedName>
    <definedName name="________________________________pen02">#REF!</definedName>
    <definedName name="________________________________pen03">#REF!</definedName>
    <definedName name="________________________________pen04">#REF!</definedName>
    <definedName name="________________________________pen05">#REF!</definedName>
    <definedName name="________________________________pen06">#REF!</definedName>
    <definedName name="________________________________pen07">#REF!</definedName>
    <definedName name="________________________________pen08">#REF!</definedName>
    <definedName name="________________________________pen09">#REF!</definedName>
    <definedName name="________________________________pen10">#REF!</definedName>
    <definedName name="________________________________pen40">#REF!</definedName>
    <definedName name="________________________________Rbv1">#REF!</definedName>
    <definedName name="_______________________________bri1" localSheetId="4">#REF!</definedName>
    <definedName name="_______________________________bri1" localSheetId="2">#REF!</definedName>
    <definedName name="_______________________________bri1">#REF!</definedName>
    <definedName name="_______________________________bri2" localSheetId="4">#REF!</definedName>
    <definedName name="_______________________________bri2" localSheetId="2">#REF!</definedName>
    <definedName name="_______________________________bri2">#REF!</definedName>
    <definedName name="_______________________________drb1">#REF!</definedName>
    <definedName name="_______________________________drb2" localSheetId="4">#REF!</definedName>
    <definedName name="_______________________________drb2" localSheetId="2">#REF!</definedName>
    <definedName name="_______________________________drb2">#REF!</definedName>
    <definedName name="_______________________________mat01">#REF!</definedName>
    <definedName name="_______________________________mat02">#REF!</definedName>
    <definedName name="_______________________________mat03">#REF!</definedName>
    <definedName name="_______________________________mat04">#REF!</definedName>
    <definedName name="_______________________________mat05">#REF!</definedName>
    <definedName name="_______________________________mat06">#REF!</definedName>
    <definedName name="_______________________________pas10" localSheetId="4">#REF!</definedName>
    <definedName name="_______________________________pas10" localSheetId="2">#REF!</definedName>
    <definedName name="_______________________________pas10">#REF!</definedName>
    <definedName name="_______________________________pas200" localSheetId="4">#REF!</definedName>
    <definedName name="_______________________________pas200" localSheetId="2">#REF!</definedName>
    <definedName name="_______________________________pas200">#REF!</definedName>
    <definedName name="_______________________________pas40" localSheetId="4">#REF!</definedName>
    <definedName name="_______________________________pas40" localSheetId="2">#REF!</definedName>
    <definedName name="_______________________________pas40">#REF!</definedName>
    <definedName name="_______________________________pen01">#REF!</definedName>
    <definedName name="_______________________________pen02">#REF!</definedName>
    <definedName name="_______________________________pen03">#REF!</definedName>
    <definedName name="_______________________________pen04">#REF!</definedName>
    <definedName name="_______________________________pen05">#REF!</definedName>
    <definedName name="_______________________________pen06">#REF!</definedName>
    <definedName name="_______________________________pen07">#REF!</definedName>
    <definedName name="_______________________________pen08">#REF!</definedName>
    <definedName name="_______________________________pen09">#REF!</definedName>
    <definedName name="_______________________________pen10">#REF!</definedName>
    <definedName name="_______________________________pen40">#REF!</definedName>
    <definedName name="_______________________________Rbv1">#REF!</definedName>
    <definedName name="______________________________bri1" localSheetId="4">#REF!</definedName>
    <definedName name="______________________________bri1" localSheetId="2">#REF!</definedName>
    <definedName name="______________________________bri1">#REF!</definedName>
    <definedName name="______________________________bri2" localSheetId="4">#REF!</definedName>
    <definedName name="______________________________bri2" localSheetId="2">#REF!</definedName>
    <definedName name="______________________________bri2">#REF!</definedName>
    <definedName name="______________________________drb1">#REF!</definedName>
    <definedName name="______________________________drb2" localSheetId="4">#REF!</definedName>
    <definedName name="______________________________drb2" localSheetId="2">#REF!</definedName>
    <definedName name="______________________________drb2">#REF!</definedName>
    <definedName name="______________________________mat01">#REF!</definedName>
    <definedName name="______________________________mat02">#REF!</definedName>
    <definedName name="______________________________mat03">#REF!</definedName>
    <definedName name="______________________________mat04">#REF!</definedName>
    <definedName name="______________________________mat05">#REF!</definedName>
    <definedName name="______________________________mat06">#REF!</definedName>
    <definedName name="______________________________pas10" localSheetId="4">#REF!</definedName>
    <definedName name="______________________________pas10" localSheetId="2">#REF!</definedName>
    <definedName name="______________________________pas10">#REF!</definedName>
    <definedName name="______________________________pas200" localSheetId="4">#REF!</definedName>
    <definedName name="______________________________pas200" localSheetId="2">#REF!</definedName>
    <definedName name="______________________________pas200">#REF!</definedName>
    <definedName name="______________________________pas40" localSheetId="4">#REF!</definedName>
    <definedName name="______________________________pas40" localSheetId="2">#REF!</definedName>
    <definedName name="______________________________pas40">#REF!</definedName>
    <definedName name="______________________________pen01">#REF!</definedName>
    <definedName name="______________________________pen02">#REF!</definedName>
    <definedName name="______________________________pen03">#REF!</definedName>
    <definedName name="______________________________pen04">#REF!</definedName>
    <definedName name="______________________________pen05">#REF!</definedName>
    <definedName name="______________________________pen06">#REF!</definedName>
    <definedName name="______________________________pen07">#REF!</definedName>
    <definedName name="______________________________pen08">#REF!</definedName>
    <definedName name="______________________________pen09">#REF!</definedName>
    <definedName name="______________________________pen10">#REF!</definedName>
    <definedName name="______________________________pen40">#REF!</definedName>
    <definedName name="______________________________Rbv1">#REF!</definedName>
    <definedName name="_____________________________bri1" localSheetId="4">#REF!</definedName>
    <definedName name="_____________________________bri1" localSheetId="2">#REF!</definedName>
    <definedName name="_____________________________bri1">#REF!</definedName>
    <definedName name="_____________________________bri2" localSheetId="4">#REF!</definedName>
    <definedName name="_____________________________bri2" localSheetId="2">#REF!</definedName>
    <definedName name="_____________________________bri2">#REF!</definedName>
    <definedName name="_____________________________drb1">#REF!</definedName>
    <definedName name="_____________________________drb2" localSheetId="4">#REF!</definedName>
    <definedName name="_____________________________drb2" localSheetId="2">#REF!</definedName>
    <definedName name="_____________________________drb2">#REF!</definedName>
    <definedName name="_____________________________mat01">#REF!</definedName>
    <definedName name="_____________________________mat02">#REF!</definedName>
    <definedName name="_____________________________mat03">#REF!</definedName>
    <definedName name="_____________________________mat04">#REF!</definedName>
    <definedName name="_____________________________mat05">#REF!</definedName>
    <definedName name="_____________________________mat06">#REF!</definedName>
    <definedName name="_____________________________pas10" localSheetId="4">#REF!</definedName>
    <definedName name="_____________________________pas10" localSheetId="2">#REF!</definedName>
    <definedName name="_____________________________pas10">#REF!</definedName>
    <definedName name="_____________________________pas200" localSheetId="4">#REF!</definedName>
    <definedName name="_____________________________pas200" localSheetId="2">#REF!</definedName>
    <definedName name="_____________________________pas200">#REF!</definedName>
    <definedName name="_____________________________pas40" localSheetId="4">#REF!</definedName>
    <definedName name="_____________________________pas40" localSheetId="2">#REF!</definedName>
    <definedName name="_____________________________pas40">#REF!</definedName>
    <definedName name="_____________________________pen01">#REF!</definedName>
    <definedName name="_____________________________pen02">#REF!</definedName>
    <definedName name="_____________________________pen03">#REF!</definedName>
    <definedName name="_____________________________pen04">#REF!</definedName>
    <definedName name="_____________________________pen05">#REF!</definedName>
    <definedName name="_____________________________pen06">#REF!</definedName>
    <definedName name="_____________________________pen07">#REF!</definedName>
    <definedName name="_____________________________pen08">#REF!</definedName>
    <definedName name="_____________________________pen09">#REF!</definedName>
    <definedName name="_____________________________pen10">#REF!</definedName>
    <definedName name="_____________________________pen40">#REF!</definedName>
    <definedName name="_____________________________Rbv1">#REF!</definedName>
    <definedName name="____________________________bri1" localSheetId="4">#REF!</definedName>
    <definedName name="____________________________bri1" localSheetId="2">#REF!</definedName>
    <definedName name="____________________________bri1">#REF!</definedName>
    <definedName name="____________________________bri2" localSheetId="4">#REF!</definedName>
    <definedName name="____________________________bri2" localSheetId="2">#REF!</definedName>
    <definedName name="____________________________bri2">#REF!</definedName>
    <definedName name="____________________________drb1">#REF!</definedName>
    <definedName name="____________________________drb2" localSheetId="4">#REF!</definedName>
    <definedName name="____________________________drb2" localSheetId="2">#REF!</definedName>
    <definedName name="____________________________drb2">#REF!</definedName>
    <definedName name="____________________________mat01">#REF!</definedName>
    <definedName name="____________________________mat02">#REF!</definedName>
    <definedName name="____________________________mat03">#REF!</definedName>
    <definedName name="____________________________mat04">#REF!</definedName>
    <definedName name="____________________________mat05">#REF!</definedName>
    <definedName name="____________________________mat06">#REF!</definedName>
    <definedName name="____________________________pas10">#REF!</definedName>
    <definedName name="____________________________pas200">#REF!</definedName>
    <definedName name="____________________________pas40">#REF!</definedName>
    <definedName name="____________________________pen01">#REF!</definedName>
    <definedName name="____________________________pen02">#REF!</definedName>
    <definedName name="____________________________pen03">#REF!</definedName>
    <definedName name="____________________________pen04">#REF!</definedName>
    <definedName name="____________________________pen05">#REF!</definedName>
    <definedName name="____________________________pen06">#REF!</definedName>
    <definedName name="____________________________pen07">#REF!</definedName>
    <definedName name="____________________________pen08">#REF!</definedName>
    <definedName name="____________________________pen09">#REF!</definedName>
    <definedName name="____________________________pen10">#REF!</definedName>
    <definedName name="____________________________pen40">#REF!</definedName>
    <definedName name="____________________________Rbv1">#REF!</definedName>
    <definedName name="___________________________bri1" localSheetId="4">#REF!</definedName>
    <definedName name="___________________________bri1" localSheetId="2">#REF!</definedName>
    <definedName name="___________________________bri1">#REF!</definedName>
    <definedName name="___________________________bri2" localSheetId="4">#REF!</definedName>
    <definedName name="___________________________bri2" localSheetId="2">#REF!</definedName>
    <definedName name="___________________________bri2">#REF!</definedName>
    <definedName name="___________________________drb1">#REF!</definedName>
    <definedName name="___________________________drb2" localSheetId="4">#REF!</definedName>
    <definedName name="___________________________drb2" localSheetId="2">#REF!</definedName>
    <definedName name="___________________________drb2">#REF!</definedName>
    <definedName name="___________________________mat01">#REF!</definedName>
    <definedName name="___________________________mat02">#REF!</definedName>
    <definedName name="___________________________mat03">#REF!</definedName>
    <definedName name="___________________________mat04">#REF!</definedName>
    <definedName name="___________________________mat05">#REF!</definedName>
    <definedName name="___________________________mat06">#REF!</definedName>
    <definedName name="___________________________pas10" localSheetId="4">#REF!</definedName>
    <definedName name="___________________________pas10" localSheetId="2">#REF!</definedName>
    <definedName name="___________________________pas10">#REF!</definedName>
    <definedName name="___________________________pas200" localSheetId="4">#REF!</definedName>
    <definedName name="___________________________pas200" localSheetId="2">#REF!</definedName>
    <definedName name="___________________________pas200">#REF!</definedName>
    <definedName name="___________________________pas40" localSheetId="4">#REF!</definedName>
    <definedName name="___________________________pas40" localSheetId="2">#REF!</definedName>
    <definedName name="___________________________pas40">#REF!</definedName>
    <definedName name="___________________________pen01">#REF!</definedName>
    <definedName name="___________________________pen02">#REF!</definedName>
    <definedName name="___________________________pen03">#REF!</definedName>
    <definedName name="___________________________pen04">#REF!</definedName>
    <definedName name="___________________________pen05">#REF!</definedName>
    <definedName name="___________________________pen06">#REF!</definedName>
    <definedName name="___________________________pen07">#REF!</definedName>
    <definedName name="___________________________pen08">#REF!</definedName>
    <definedName name="___________________________pen09">#REF!</definedName>
    <definedName name="___________________________pen10">#REF!</definedName>
    <definedName name="___________________________pen40">#REF!</definedName>
    <definedName name="___________________________Rbv1">#REF!</definedName>
    <definedName name="__________________________bri1" localSheetId="4">#REF!</definedName>
    <definedName name="__________________________bri1" localSheetId="2">#REF!</definedName>
    <definedName name="__________________________bri1">#REF!</definedName>
    <definedName name="__________________________bri2" localSheetId="4">#REF!</definedName>
    <definedName name="__________________________bri2" localSheetId="2">#REF!</definedName>
    <definedName name="__________________________bri2">#REF!</definedName>
    <definedName name="__________________________drb1">#REF!</definedName>
    <definedName name="__________________________drb2" localSheetId="4">#REF!</definedName>
    <definedName name="__________________________drb2" localSheetId="2">#REF!</definedName>
    <definedName name="__________________________drb2">#REF!</definedName>
    <definedName name="__________________________mat01">#REF!</definedName>
    <definedName name="__________________________mat02">#REF!</definedName>
    <definedName name="__________________________mat03">#REF!</definedName>
    <definedName name="__________________________mat04">#REF!</definedName>
    <definedName name="__________________________mat05">#REF!</definedName>
    <definedName name="__________________________mat06">#REF!</definedName>
    <definedName name="__________________________pas10" localSheetId="4">#REF!</definedName>
    <definedName name="__________________________pas10" localSheetId="2">#REF!</definedName>
    <definedName name="__________________________pas10">#REF!</definedName>
    <definedName name="__________________________pas200" localSheetId="4">#REF!</definedName>
    <definedName name="__________________________pas200" localSheetId="2">#REF!</definedName>
    <definedName name="__________________________pas200">#REF!</definedName>
    <definedName name="__________________________pas40" localSheetId="4">#REF!</definedName>
    <definedName name="__________________________pas40" localSheetId="2">#REF!</definedName>
    <definedName name="__________________________pas40">#REF!</definedName>
    <definedName name="__________________________pen01">#REF!</definedName>
    <definedName name="__________________________pen02">#REF!</definedName>
    <definedName name="__________________________pen03">#REF!</definedName>
    <definedName name="__________________________pen04">#REF!</definedName>
    <definedName name="__________________________pen05">#REF!</definedName>
    <definedName name="__________________________pen06">#REF!</definedName>
    <definedName name="__________________________pen07">#REF!</definedName>
    <definedName name="__________________________pen08">#REF!</definedName>
    <definedName name="__________________________pen09">#REF!</definedName>
    <definedName name="__________________________pen10">#REF!</definedName>
    <definedName name="__________________________pen40">#REF!</definedName>
    <definedName name="__________________________Rbv1">#REF!</definedName>
    <definedName name="_________________________bri1" localSheetId="4">#REF!</definedName>
    <definedName name="_________________________bri1" localSheetId="2">#REF!</definedName>
    <definedName name="_________________________bri1">#REF!</definedName>
    <definedName name="_________________________bri2" localSheetId="4">#REF!</definedName>
    <definedName name="_________________________bri2" localSheetId="2">#REF!</definedName>
    <definedName name="_________________________bri2">#REF!</definedName>
    <definedName name="_________________________drb1">#REF!</definedName>
    <definedName name="_________________________drb2" localSheetId="4">#REF!</definedName>
    <definedName name="_________________________drb2" localSheetId="2">#REF!</definedName>
    <definedName name="_________________________drb2">#REF!</definedName>
    <definedName name="_________________________mat01">#REF!</definedName>
    <definedName name="_________________________mat02">#REF!</definedName>
    <definedName name="_________________________mat03">#REF!</definedName>
    <definedName name="_________________________mat04">#REF!</definedName>
    <definedName name="_________________________mat05">#REF!</definedName>
    <definedName name="_________________________mat06">#REF!</definedName>
    <definedName name="_________________________pas10" localSheetId="4">#REF!</definedName>
    <definedName name="_________________________pas10" localSheetId="2">#REF!</definedName>
    <definedName name="_________________________pas10">#REF!</definedName>
    <definedName name="_________________________pas200" localSheetId="4">#REF!</definedName>
    <definedName name="_________________________pas200" localSheetId="2">#REF!</definedName>
    <definedName name="_________________________pas200">#REF!</definedName>
    <definedName name="_________________________pas40" localSheetId="4">#REF!</definedName>
    <definedName name="_________________________pas40" localSheetId="2">#REF!</definedName>
    <definedName name="_________________________pas40">#REF!</definedName>
    <definedName name="_________________________pen01">#REF!</definedName>
    <definedName name="_________________________pen02">#REF!</definedName>
    <definedName name="_________________________pen03">#REF!</definedName>
    <definedName name="_________________________pen04">#REF!</definedName>
    <definedName name="_________________________pen05">#REF!</definedName>
    <definedName name="_________________________pen06">#REF!</definedName>
    <definedName name="_________________________pen07">#REF!</definedName>
    <definedName name="_________________________pen08">#REF!</definedName>
    <definedName name="_________________________pen09">#REF!</definedName>
    <definedName name="_________________________pen10">#REF!</definedName>
    <definedName name="_________________________pen40">#REF!</definedName>
    <definedName name="_________________________Rbv1">#REF!</definedName>
    <definedName name="________________________bri1" localSheetId="4">#REF!</definedName>
    <definedName name="________________________bri1" localSheetId="2">#REF!</definedName>
    <definedName name="________________________bri1">#REF!</definedName>
    <definedName name="________________________bri2" localSheetId="4">#REF!</definedName>
    <definedName name="________________________bri2" localSheetId="2">#REF!</definedName>
    <definedName name="________________________bri2">#REF!</definedName>
    <definedName name="________________________drb1">#REF!</definedName>
    <definedName name="________________________drb2" localSheetId="4">#REF!</definedName>
    <definedName name="________________________drb2" localSheetId="2">#REF!</definedName>
    <definedName name="________________________drb2">#REF!</definedName>
    <definedName name="________________________mat01">#REF!</definedName>
    <definedName name="________________________mat02">#REF!</definedName>
    <definedName name="________________________mat03">#REF!</definedName>
    <definedName name="________________________mat04">#REF!</definedName>
    <definedName name="________________________mat05">#REF!</definedName>
    <definedName name="________________________mat06">#REF!</definedName>
    <definedName name="________________________pas10" localSheetId="4">#REF!</definedName>
    <definedName name="________________________pas10" localSheetId="2">#REF!</definedName>
    <definedName name="________________________pas10">#REF!</definedName>
    <definedName name="________________________pas200" localSheetId="4">#REF!</definedName>
    <definedName name="________________________pas200" localSheetId="2">#REF!</definedName>
    <definedName name="________________________pas200">#REF!</definedName>
    <definedName name="________________________pas40" localSheetId="4">#REF!</definedName>
    <definedName name="________________________pas40" localSheetId="2">#REF!</definedName>
    <definedName name="________________________pas40">#REF!</definedName>
    <definedName name="________________________pen01">#REF!</definedName>
    <definedName name="________________________pen02">#REF!</definedName>
    <definedName name="________________________pen03">#REF!</definedName>
    <definedName name="________________________pen04">#REF!</definedName>
    <definedName name="________________________pen05">#REF!</definedName>
    <definedName name="________________________pen06">#REF!</definedName>
    <definedName name="________________________pen07">#REF!</definedName>
    <definedName name="________________________pen08">#REF!</definedName>
    <definedName name="________________________pen09">#REF!</definedName>
    <definedName name="________________________pen10">#REF!</definedName>
    <definedName name="________________________pen40">#REF!</definedName>
    <definedName name="________________________Rbv1">#REF!</definedName>
    <definedName name="_______________________bri1" localSheetId="4">#REF!</definedName>
    <definedName name="_______________________bri1" localSheetId="2">#REF!</definedName>
    <definedName name="_______________________bri1">#REF!</definedName>
    <definedName name="_______________________bri2" localSheetId="4">#REF!</definedName>
    <definedName name="_______________________bri2" localSheetId="2">#REF!</definedName>
    <definedName name="_______________________bri2">#REF!</definedName>
    <definedName name="_______________________drb1">#REF!</definedName>
    <definedName name="_______________________drb2" localSheetId="4">#REF!</definedName>
    <definedName name="_______________________drb2" localSheetId="2">#REF!</definedName>
    <definedName name="_______________________drb2">#REF!</definedName>
    <definedName name="_______________________mat01">#REF!</definedName>
    <definedName name="_______________________mat02">#REF!</definedName>
    <definedName name="_______________________mat03">#REF!</definedName>
    <definedName name="_______________________mat04">#REF!</definedName>
    <definedName name="_______________________mat05">#REF!</definedName>
    <definedName name="_______________________mat06">#REF!</definedName>
    <definedName name="_______________________pas10" localSheetId="4">#REF!</definedName>
    <definedName name="_______________________pas10" localSheetId="2">#REF!</definedName>
    <definedName name="_______________________pas10">#REF!</definedName>
    <definedName name="_______________________pas200" localSheetId="4">#REF!</definedName>
    <definedName name="_______________________pas200" localSheetId="2">#REF!</definedName>
    <definedName name="_______________________pas200">#REF!</definedName>
    <definedName name="_______________________pas40" localSheetId="4">#REF!</definedName>
    <definedName name="_______________________pas40" localSheetId="2">#REF!</definedName>
    <definedName name="_______________________pas40">#REF!</definedName>
    <definedName name="_______________________pen01">#REF!</definedName>
    <definedName name="_______________________pen02">#REF!</definedName>
    <definedName name="_______________________pen03">#REF!</definedName>
    <definedName name="_______________________pen04">#REF!</definedName>
    <definedName name="_______________________pen05">#REF!</definedName>
    <definedName name="_______________________pen06">#REF!</definedName>
    <definedName name="_______________________pen07">#REF!</definedName>
    <definedName name="_______________________pen08">#REF!</definedName>
    <definedName name="_______________________pen09">#REF!</definedName>
    <definedName name="_______________________pen10">#REF!</definedName>
    <definedName name="_______________________pen40">#REF!</definedName>
    <definedName name="_______________________Rbv1">#REF!</definedName>
    <definedName name="______________________bri1" localSheetId="4">#REF!</definedName>
    <definedName name="______________________bri1" localSheetId="2">#REF!</definedName>
    <definedName name="______________________bri1">#REF!</definedName>
    <definedName name="______________________bri2" localSheetId="4">#REF!</definedName>
    <definedName name="______________________bri2" localSheetId="2">#REF!</definedName>
    <definedName name="______________________bri2">#REF!</definedName>
    <definedName name="______________________drb1">#REF!</definedName>
    <definedName name="______________________drb2" localSheetId="4">#REF!</definedName>
    <definedName name="______________________drb2" localSheetId="2">#REF!</definedName>
    <definedName name="______________________drb2">#REF!</definedName>
    <definedName name="______________________mat01">#REF!</definedName>
    <definedName name="______________________mat02">#REF!</definedName>
    <definedName name="______________________mat03">#REF!</definedName>
    <definedName name="______________________mat04">#REF!</definedName>
    <definedName name="______________________mat05">#REF!</definedName>
    <definedName name="______________________mat06">#REF!</definedName>
    <definedName name="______________________pas10" localSheetId="4">#REF!</definedName>
    <definedName name="______________________pas10" localSheetId="2">#REF!</definedName>
    <definedName name="______________________pas10">#REF!</definedName>
    <definedName name="______________________pas200" localSheetId="4">#REF!</definedName>
    <definedName name="______________________pas200" localSheetId="2">#REF!</definedName>
    <definedName name="______________________pas200">#REF!</definedName>
    <definedName name="______________________pas40" localSheetId="4">#REF!</definedName>
    <definedName name="______________________pas40" localSheetId="2">#REF!</definedName>
    <definedName name="______________________pas40">#REF!</definedName>
    <definedName name="______________________pen01">#REF!</definedName>
    <definedName name="______________________pen02">#REF!</definedName>
    <definedName name="______________________pen03">#REF!</definedName>
    <definedName name="______________________pen04">#REF!</definedName>
    <definedName name="______________________pen05">#REF!</definedName>
    <definedName name="______________________pen06">#REF!</definedName>
    <definedName name="______________________pen07">#REF!</definedName>
    <definedName name="______________________pen08">#REF!</definedName>
    <definedName name="______________________pen09">#REF!</definedName>
    <definedName name="______________________pen10">#REF!</definedName>
    <definedName name="______________________pen40">#REF!</definedName>
    <definedName name="______________________Rbv1">#REF!</definedName>
    <definedName name="_____________________bri1" localSheetId="4">#REF!</definedName>
    <definedName name="_____________________bri1" localSheetId="2">#REF!</definedName>
    <definedName name="_____________________bri1">#REF!</definedName>
    <definedName name="_____________________bri2" localSheetId="4">#REF!</definedName>
    <definedName name="_____________________bri2" localSheetId="2">#REF!</definedName>
    <definedName name="_____________________bri2">#REF!</definedName>
    <definedName name="_____________________drb1">#REF!</definedName>
    <definedName name="_____________________drb2" localSheetId="4">#REF!</definedName>
    <definedName name="_____________________drb2" localSheetId="2">#REF!</definedName>
    <definedName name="_____________________drb2">#REF!</definedName>
    <definedName name="_____________________mat01">#REF!</definedName>
    <definedName name="_____________________mat02">#REF!</definedName>
    <definedName name="_____________________mat03">#REF!</definedName>
    <definedName name="_____________________mat04">#REF!</definedName>
    <definedName name="_____________________mat05">#REF!</definedName>
    <definedName name="_____________________mat06">#REF!</definedName>
    <definedName name="_____________________pas10" localSheetId="4">#REF!</definedName>
    <definedName name="_____________________pas10" localSheetId="2">#REF!</definedName>
    <definedName name="_____________________pas10">#REF!</definedName>
    <definedName name="_____________________pas200" localSheetId="4">#REF!</definedName>
    <definedName name="_____________________pas200" localSheetId="2">#REF!</definedName>
    <definedName name="_____________________pas200">#REF!</definedName>
    <definedName name="_____________________pas40" localSheetId="4">#REF!</definedName>
    <definedName name="_____________________pas40" localSheetId="2">#REF!</definedName>
    <definedName name="_____________________pas40">#REF!</definedName>
    <definedName name="_____________________pen01">#REF!</definedName>
    <definedName name="_____________________pen02">#REF!</definedName>
    <definedName name="_____________________pen03">#REF!</definedName>
    <definedName name="_____________________pen04">#REF!</definedName>
    <definedName name="_____________________pen05">#REF!</definedName>
    <definedName name="_____________________pen06">#REF!</definedName>
    <definedName name="_____________________pen07">#REF!</definedName>
    <definedName name="_____________________pen08">#REF!</definedName>
    <definedName name="_____________________pen09">#REF!</definedName>
    <definedName name="_____________________pen10">#REF!</definedName>
    <definedName name="_____________________pen40">#REF!</definedName>
    <definedName name="_____________________Rbv1">#REF!</definedName>
    <definedName name="____________________bri1" localSheetId="4">#REF!</definedName>
    <definedName name="____________________bri1" localSheetId="2">#REF!</definedName>
    <definedName name="____________________bri1">#REF!</definedName>
    <definedName name="____________________bri2" localSheetId="4">#REF!</definedName>
    <definedName name="____________________bri2" localSheetId="2">#REF!</definedName>
    <definedName name="____________________bri2">#REF!</definedName>
    <definedName name="____________________drb1">#REF!</definedName>
    <definedName name="____________________drb2" localSheetId="4">#REF!</definedName>
    <definedName name="____________________drb2" localSheetId="2">#REF!</definedName>
    <definedName name="____________________drb2">#REF!</definedName>
    <definedName name="____________________mat01">#REF!</definedName>
    <definedName name="____________________mat02">#REF!</definedName>
    <definedName name="____________________mat03">#REF!</definedName>
    <definedName name="____________________mat04">#REF!</definedName>
    <definedName name="____________________mat05">#REF!</definedName>
    <definedName name="____________________mat06">#REF!</definedName>
    <definedName name="____________________pas10">#REF!</definedName>
    <definedName name="____________________pas200">#REF!</definedName>
    <definedName name="____________________pas40">#REF!</definedName>
    <definedName name="____________________pen01">#REF!</definedName>
    <definedName name="____________________pen02">#REF!</definedName>
    <definedName name="____________________pen03">#REF!</definedName>
    <definedName name="____________________pen04">#REF!</definedName>
    <definedName name="____________________pen05">#REF!</definedName>
    <definedName name="____________________pen06">#REF!</definedName>
    <definedName name="____________________pen07">#REF!</definedName>
    <definedName name="____________________pen08">#REF!</definedName>
    <definedName name="____________________pen09">#REF!</definedName>
    <definedName name="____________________pen10">#REF!</definedName>
    <definedName name="____________________pen40">#REF!</definedName>
    <definedName name="____________________Rbv1">#REF!</definedName>
    <definedName name="___________________bri1" localSheetId="4">#REF!</definedName>
    <definedName name="___________________bri1" localSheetId="2">#REF!</definedName>
    <definedName name="___________________bri1">#REF!</definedName>
    <definedName name="___________________bri2" localSheetId="4">#REF!</definedName>
    <definedName name="___________________bri2" localSheetId="2">#REF!</definedName>
    <definedName name="___________________bri2">#REF!</definedName>
    <definedName name="___________________drb1">#REF!</definedName>
    <definedName name="___________________drb2" localSheetId="4">#REF!</definedName>
    <definedName name="___________________drb2" localSheetId="2">#REF!</definedName>
    <definedName name="___________________drb2">#REF!</definedName>
    <definedName name="___________________mat01">#REF!</definedName>
    <definedName name="___________________mat02">#REF!</definedName>
    <definedName name="___________________mat03">#REF!</definedName>
    <definedName name="___________________mat04">#REF!</definedName>
    <definedName name="___________________mat05">#REF!</definedName>
    <definedName name="___________________mat06">#REF!</definedName>
    <definedName name="___________________pas10" localSheetId="4">#REF!</definedName>
    <definedName name="___________________pas10" localSheetId="2">#REF!</definedName>
    <definedName name="___________________pas10">#REF!</definedName>
    <definedName name="___________________pas200" localSheetId="4">#REF!</definedName>
    <definedName name="___________________pas200" localSheetId="2">#REF!</definedName>
    <definedName name="___________________pas200">#REF!</definedName>
    <definedName name="___________________pas40" localSheetId="4">#REF!</definedName>
    <definedName name="___________________pas40" localSheetId="2">#REF!</definedName>
    <definedName name="___________________pas40">#REF!</definedName>
    <definedName name="___________________pen01">#REF!</definedName>
    <definedName name="___________________pen02">#REF!</definedName>
    <definedName name="___________________pen03">#REF!</definedName>
    <definedName name="___________________pen04">#REF!</definedName>
    <definedName name="___________________pen05">#REF!</definedName>
    <definedName name="___________________pen06">#REF!</definedName>
    <definedName name="___________________pen07">#REF!</definedName>
    <definedName name="___________________pen08">#REF!</definedName>
    <definedName name="___________________pen09">#REF!</definedName>
    <definedName name="___________________pen10">#REF!</definedName>
    <definedName name="___________________pen40">#REF!</definedName>
    <definedName name="___________________Rbv1">#REF!</definedName>
    <definedName name="__________________bri1" localSheetId="4">#REF!</definedName>
    <definedName name="__________________bri1" localSheetId="2">#REF!</definedName>
    <definedName name="__________________bri1">#REF!</definedName>
    <definedName name="__________________bri2" localSheetId="4">#REF!</definedName>
    <definedName name="__________________bri2" localSheetId="2">#REF!</definedName>
    <definedName name="__________________bri2">#REF!</definedName>
    <definedName name="__________________drb1">#REF!</definedName>
    <definedName name="__________________drb2" localSheetId="4">#REF!</definedName>
    <definedName name="__________________drb2" localSheetId="2">#REF!</definedName>
    <definedName name="__________________drb2">#REF!</definedName>
    <definedName name="__________________mat01">#REF!</definedName>
    <definedName name="__________________mat02">#REF!</definedName>
    <definedName name="__________________mat03">#REF!</definedName>
    <definedName name="__________________mat04">#REF!</definedName>
    <definedName name="__________________mat05">#REF!</definedName>
    <definedName name="__________________mat06">#REF!</definedName>
    <definedName name="__________________pas10" localSheetId="4">#REF!</definedName>
    <definedName name="__________________pas10" localSheetId="2">#REF!</definedName>
    <definedName name="__________________pas10">#REF!</definedName>
    <definedName name="__________________pas200" localSheetId="4">#REF!</definedName>
    <definedName name="__________________pas200" localSheetId="2">#REF!</definedName>
    <definedName name="__________________pas200">#REF!</definedName>
    <definedName name="__________________pas40" localSheetId="4">#REF!</definedName>
    <definedName name="__________________pas40" localSheetId="2">#REF!</definedName>
    <definedName name="__________________pas40">#REF!</definedName>
    <definedName name="__________________pen01">#REF!</definedName>
    <definedName name="__________________pen02">#REF!</definedName>
    <definedName name="__________________pen03">#REF!</definedName>
    <definedName name="__________________pen04">#REF!</definedName>
    <definedName name="__________________pen05">#REF!</definedName>
    <definedName name="__________________pen06">#REF!</definedName>
    <definedName name="__________________pen07">#REF!</definedName>
    <definedName name="__________________pen08">#REF!</definedName>
    <definedName name="__________________pen09">#REF!</definedName>
    <definedName name="__________________pen10">#REF!</definedName>
    <definedName name="__________________pen40">#REF!</definedName>
    <definedName name="__________________Rbv1">#REF!</definedName>
    <definedName name="_________________bri1" localSheetId="4">#REF!</definedName>
    <definedName name="_________________bri1" localSheetId="2">#REF!</definedName>
    <definedName name="_________________bri1">#REF!</definedName>
    <definedName name="_________________bri2" localSheetId="4">#REF!</definedName>
    <definedName name="_________________bri2" localSheetId="2">#REF!</definedName>
    <definedName name="_________________bri2">#REF!</definedName>
    <definedName name="_________________drb1">#REF!</definedName>
    <definedName name="_________________drb2" localSheetId="4">#REF!</definedName>
    <definedName name="_________________drb2" localSheetId="2">#REF!</definedName>
    <definedName name="_________________drb2">#REF!</definedName>
    <definedName name="_________________mat01">#REF!</definedName>
    <definedName name="_________________mat02">#REF!</definedName>
    <definedName name="_________________mat03">#REF!</definedName>
    <definedName name="_________________mat04">#REF!</definedName>
    <definedName name="_________________mat05">#REF!</definedName>
    <definedName name="_________________mat06">#REF!</definedName>
    <definedName name="_________________pas10" localSheetId="4">#REF!</definedName>
    <definedName name="_________________pas10" localSheetId="2">#REF!</definedName>
    <definedName name="_________________pas10">#REF!</definedName>
    <definedName name="_________________pas200" localSheetId="4">#REF!</definedName>
    <definedName name="_________________pas200" localSheetId="2">#REF!</definedName>
    <definedName name="_________________pas200">#REF!</definedName>
    <definedName name="_________________pas40" localSheetId="4">#REF!</definedName>
    <definedName name="_________________pas40" localSheetId="2">#REF!</definedName>
    <definedName name="_________________pas40">#REF!</definedName>
    <definedName name="_________________pen01">#REF!</definedName>
    <definedName name="_________________pen02">#REF!</definedName>
    <definedName name="_________________pen03">#REF!</definedName>
    <definedName name="_________________pen04">#REF!</definedName>
    <definedName name="_________________pen05">#REF!</definedName>
    <definedName name="_________________pen06">#REF!</definedName>
    <definedName name="_________________pen07">#REF!</definedName>
    <definedName name="_________________pen08">#REF!</definedName>
    <definedName name="_________________pen09">#REF!</definedName>
    <definedName name="_________________pen10">#REF!</definedName>
    <definedName name="_________________pen40">#REF!</definedName>
    <definedName name="_________________Rbv1">#REF!</definedName>
    <definedName name="________________bri1" localSheetId="4">#REF!</definedName>
    <definedName name="________________bri1" localSheetId="2">#REF!</definedName>
    <definedName name="________________bri1">#REF!</definedName>
    <definedName name="________________bri2" localSheetId="4">#REF!</definedName>
    <definedName name="________________bri2" localSheetId="2">#REF!</definedName>
    <definedName name="________________bri2">#REF!</definedName>
    <definedName name="________________drb1">#REF!</definedName>
    <definedName name="________________drb2" localSheetId="4">#REF!</definedName>
    <definedName name="________________drb2" localSheetId="2">#REF!</definedName>
    <definedName name="________________drb2">#REF!</definedName>
    <definedName name="________________mat01">#REF!</definedName>
    <definedName name="________________mat02">#REF!</definedName>
    <definedName name="________________mat03">#REF!</definedName>
    <definedName name="________________mat04">#REF!</definedName>
    <definedName name="________________mat05">#REF!</definedName>
    <definedName name="________________mat06">#REF!</definedName>
    <definedName name="________________pas10" localSheetId="4">#REF!</definedName>
    <definedName name="________________pas10" localSheetId="2">#REF!</definedName>
    <definedName name="________________pas10">#REF!</definedName>
    <definedName name="________________pas200" localSheetId="4">#REF!</definedName>
    <definedName name="________________pas200" localSheetId="2">#REF!</definedName>
    <definedName name="________________pas200">#REF!</definedName>
    <definedName name="________________pas40" localSheetId="4">#REF!</definedName>
    <definedName name="________________pas40" localSheetId="2">#REF!</definedName>
    <definedName name="________________pas40">#REF!</definedName>
    <definedName name="________________pen01">#REF!</definedName>
    <definedName name="________________pen02">#REF!</definedName>
    <definedName name="________________pen03">#REF!</definedName>
    <definedName name="________________pen04">#REF!</definedName>
    <definedName name="________________pen05">#REF!</definedName>
    <definedName name="________________pen06">#REF!</definedName>
    <definedName name="________________pen07">#REF!</definedName>
    <definedName name="________________pen08">#REF!</definedName>
    <definedName name="________________pen09">#REF!</definedName>
    <definedName name="________________pen10">#REF!</definedName>
    <definedName name="________________pen40">#REF!</definedName>
    <definedName name="________________Rbv1">#REF!</definedName>
    <definedName name="_______________bri1" localSheetId="4">#REF!</definedName>
    <definedName name="_______________bri1" localSheetId="2">#REF!</definedName>
    <definedName name="_______________bri1">#REF!</definedName>
    <definedName name="_______________bri2" localSheetId="4">#REF!</definedName>
    <definedName name="_______________bri2" localSheetId="2">#REF!</definedName>
    <definedName name="_______________bri2">#REF!</definedName>
    <definedName name="_______________drb1">#REF!</definedName>
    <definedName name="_______________drb2" localSheetId="4">#REF!</definedName>
    <definedName name="_______________drb2" localSheetId="2">#REF!</definedName>
    <definedName name="_______________drb2">#REF!</definedName>
    <definedName name="_______________mat01">#REF!</definedName>
    <definedName name="_______________mat02">#REF!</definedName>
    <definedName name="_______________mat03">#REF!</definedName>
    <definedName name="_______________mat04">#REF!</definedName>
    <definedName name="_______________mat05">#REF!</definedName>
    <definedName name="_______________mat06">#REF!</definedName>
    <definedName name="_______________OUT98" localSheetId="4" hidden="1">{#N/A,#N/A,TRUE,"Serviços"}</definedName>
    <definedName name="_______________OUT98" localSheetId="2" hidden="1">{#N/A,#N/A,TRUE,"Serviços"}</definedName>
    <definedName name="_______________OUT98" hidden="1">{#N/A,#N/A,TRUE,"Serviços"}</definedName>
    <definedName name="_______________pas10">#REF!</definedName>
    <definedName name="_______________pas200" localSheetId="4">#REF!</definedName>
    <definedName name="_______________pas200" localSheetId="2">#REF!</definedName>
    <definedName name="_______________pas200">#REF!</definedName>
    <definedName name="_______________pas40" localSheetId="4">#REF!</definedName>
    <definedName name="_______________pas40" localSheetId="2">#REF!</definedName>
    <definedName name="_______________pas40">#REF!</definedName>
    <definedName name="_______________pen01">#REF!</definedName>
    <definedName name="_______________pen02">#REF!</definedName>
    <definedName name="_______________pen03">#REF!</definedName>
    <definedName name="_______________pen04">#REF!</definedName>
    <definedName name="_______________pen05">#REF!</definedName>
    <definedName name="_______________pen06">#REF!</definedName>
    <definedName name="_______________pen07">#REF!</definedName>
    <definedName name="_______________pen08">#REF!</definedName>
    <definedName name="_______________pen09">#REF!</definedName>
    <definedName name="_______________pen10">#REF!</definedName>
    <definedName name="_______________pen40">#REF!</definedName>
    <definedName name="_______________Rbv1">#REF!</definedName>
    <definedName name="______________bri1" localSheetId="4">#REF!</definedName>
    <definedName name="______________bri1" localSheetId="2">#REF!</definedName>
    <definedName name="______________bri1">#REF!</definedName>
    <definedName name="______________bri2" localSheetId="4">#REF!</definedName>
    <definedName name="______________bri2" localSheetId="2">#REF!</definedName>
    <definedName name="______________bri2">#REF!</definedName>
    <definedName name="______________drb1">#REF!</definedName>
    <definedName name="______________drb2" localSheetId="4">#REF!</definedName>
    <definedName name="______________drb2" localSheetId="2">#REF!</definedName>
    <definedName name="______________drb2">#REF!</definedName>
    <definedName name="______________Ext2" localSheetId="4">#REF!</definedName>
    <definedName name="______________Ext2">#REF!</definedName>
    <definedName name="______________mat01">#REF!</definedName>
    <definedName name="______________mat02">#REF!</definedName>
    <definedName name="______________mat03">#REF!</definedName>
    <definedName name="______________mat04">#REF!</definedName>
    <definedName name="______________mat05">#REF!</definedName>
    <definedName name="______________mat06">#REF!</definedName>
    <definedName name="______________OUT98" localSheetId="4" hidden="1">{#N/A,#N/A,TRUE,"Serviços"}</definedName>
    <definedName name="______________OUT98" localSheetId="2" hidden="1">{#N/A,#N/A,TRUE,"Serviços"}</definedName>
    <definedName name="______________OUT98" hidden="1">{#N/A,#N/A,TRUE,"Serviços"}</definedName>
    <definedName name="______________pas10">#REF!</definedName>
    <definedName name="______________pas200" localSheetId="4">#REF!</definedName>
    <definedName name="______________pas200" localSheetId="2">#REF!</definedName>
    <definedName name="______________pas200">#REF!</definedName>
    <definedName name="______________pas40" localSheetId="4">#REF!</definedName>
    <definedName name="______________pas40" localSheetId="2">#REF!</definedName>
    <definedName name="______________pas40">#REF!</definedName>
    <definedName name="______________pen01">#REF!</definedName>
    <definedName name="______________pen02">#REF!</definedName>
    <definedName name="______________pen03">#REF!</definedName>
    <definedName name="______________pen04">#REF!</definedName>
    <definedName name="______________pen05">#REF!</definedName>
    <definedName name="______________pen06">#REF!</definedName>
    <definedName name="______________pen07">#REF!</definedName>
    <definedName name="______________pen08">#REF!</definedName>
    <definedName name="______________pen09">#REF!</definedName>
    <definedName name="______________pen10">#REF!</definedName>
    <definedName name="______________pen40">#REF!</definedName>
    <definedName name="______________PL1" localSheetId="4">#REF!</definedName>
    <definedName name="______________PL1" localSheetId="2">#REF!</definedName>
    <definedName name="______________PL1">#REF!</definedName>
    <definedName name="______________Rbv1">#REF!</definedName>
    <definedName name="_____________bri1" localSheetId="4">#REF!</definedName>
    <definedName name="_____________bri1" localSheetId="2">#REF!</definedName>
    <definedName name="_____________bri1">#REF!</definedName>
    <definedName name="_____________bri2" localSheetId="4">#REF!</definedName>
    <definedName name="_____________bri2" localSheetId="2">#REF!</definedName>
    <definedName name="_____________bri2">#REF!</definedName>
    <definedName name="_____________drb1">#REF!</definedName>
    <definedName name="_____________drb2" localSheetId="4">#REF!</definedName>
    <definedName name="_____________drb2" localSheetId="2">#REF!</definedName>
    <definedName name="_____________drb2">#REF!</definedName>
    <definedName name="_____________Ext2" localSheetId="4">#REF!</definedName>
    <definedName name="_____________Ext2">#REF!</definedName>
    <definedName name="_____________mat01">#REF!</definedName>
    <definedName name="_____________mat02">#REF!</definedName>
    <definedName name="_____________mat03">#REF!</definedName>
    <definedName name="_____________mat04">#REF!</definedName>
    <definedName name="_____________mat05">#REF!</definedName>
    <definedName name="_____________mat06">#REF!</definedName>
    <definedName name="_____________OUT98" localSheetId="4" hidden="1">{#N/A,#N/A,TRUE,"Serviços"}</definedName>
    <definedName name="_____________OUT98" localSheetId="2" hidden="1">{#N/A,#N/A,TRUE,"Serviços"}</definedName>
    <definedName name="_____________OUT98" hidden="1">{#N/A,#N/A,TRUE,"Serviços"}</definedName>
    <definedName name="_____________pas10">#REF!</definedName>
    <definedName name="_____________pas200" localSheetId="4">#REF!</definedName>
    <definedName name="_____________pas200" localSheetId="2">#REF!</definedName>
    <definedName name="_____________pas200">#REF!</definedName>
    <definedName name="_____________pas40" localSheetId="4">#REF!</definedName>
    <definedName name="_____________pas40" localSheetId="2">#REF!</definedName>
    <definedName name="_____________pas40">#REF!</definedName>
    <definedName name="_____________pen01">#REF!</definedName>
    <definedName name="_____________pen02">#REF!</definedName>
    <definedName name="_____________pen03">#REF!</definedName>
    <definedName name="_____________pen04">#REF!</definedName>
    <definedName name="_____________pen05">#REF!</definedName>
    <definedName name="_____________pen06">#REF!</definedName>
    <definedName name="_____________pen07">#REF!</definedName>
    <definedName name="_____________pen08">#REF!</definedName>
    <definedName name="_____________pen09">#REF!</definedName>
    <definedName name="_____________pen10">#REF!</definedName>
    <definedName name="_____________pen40">#REF!</definedName>
    <definedName name="_____________PL1" localSheetId="4">#REF!</definedName>
    <definedName name="_____________PL1" localSheetId="2">#REF!</definedName>
    <definedName name="_____________PL1">#REF!</definedName>
    <definedName name="_____________Rbv1">#REF!</definedName>
    <definedName name="____________bri1" localSheetId="4">#REF!</definedName>
    <definedName name="____________bri1" localSheetId="2">#REF!</definedName>
    <definedName name="____________bri1">#REF!</definedName>
    <definedName name="____________bri2" localSheetId="4">#REF!</definedName>
    <definedName name="____________bri2" localSheetId="2">#REF!</definedName>
    <definedName name="____________bri2">#REF!</definedName>
    <definedName name="____________drb1">#REF!</definedName>
    <definedName name="____________drb2" localSheetId="4">#REF!</definedName>
    <definedName name="____________drb2" localSheetId="2">#REF!</definedName>
    <definedName name="____________drb2">#REF!</definedName>
    <definedName name="____________Ext2" localSheetId="4">#REF!</definedName>
    <definedName name="____________Ext2">#REF!</definedName>
    <definedName name="____________mat01">#REF!</definedName>
    <definedName name="____________mat02">#REF!</definedName>
    <definedName name="____________mat03">#REF!</definedName>
    <definedName name="____________mat04">#REF!</definedName>
    <definedName name="____________mat05">#REF!</definedName>
    <definedName name="____________mat06">#REF!</definedName>
    <definedName name="____________OUT98" localSheetId="4" hidden="1">{#N/A,#N/A,TRUE,"Serviços"}</definedName>
    <definedName name="____________OUT98" localSheetId="2" hidden="1">{#N/A,#N/A,TRUE,"Serviços"}</definedName>
    <definedName name="____________OUT98" hidden="1">{#N/A,#N/A,TRUE,"Serviços"}</definedName>
    <definedName name="____________pas10" localSheetId="4">#REF!</definedName>
    <definedName name="____________pas10" localSheetId="2">#REF!</definedName>
    <definedName name="____________pas10">#REF!</definedName>
    <definedName name="____________pas200" localSheetId="4">#REF!</definedName>
    <definedName name="____________pas200" localSheetId="2">#REF!</definedName>
    <definedName name="____________pas200">#REF!</definedName>
    <definedName name="____________pas40" localSheetId="4">#REF!</definedName>
    <definedName name="____________pas40" localSheetId="2">#REF!</definedName>
    <definedName name="____________pas40">#REF!</definedName>
    <definedName name="____________pen01">#REF!</definedName>
    <definedName name="____________pen02">#REF!</definedName>
    <definedName name="____________pen03">#REF!</definedName>
    <definedName name="____________pen04">#REF!</definedName>
    <definedName name="____________pen05">#REF!</definedName>
    <definedName name="____________pen06">#REF!</definedName>
    <definedName name="____________pen07">#REF!</definedName>
    <definedName name="____________pen08">#REF!</definedName>
    <definedName name="____________pen09">#REF!</definedName>
    <definedName name="____________pen10">#REF!</definedName>
    <definedName name="____________pen40">#REF!</definedName>
    <definedName name="____________PL1" localSheetId="4">#REF!</definedName>
    <definedName name="____________PL1" localSheetId="2">#REF!</definedName>
    <definedName name="____________PL1">#REF!</definedName>
    <definedName name="____________Rbv1">#REF!</definedName>
    <definedName name="___________bri1" localSheetId="4">#REF!</definedName>
    <definedName name="___________bri1" localSheetId="2">#REF!</definedName>
    <definedName name="___________bri1">#REF!</definedName>
    <definedName name="___________bri2" localSheetId="4">#REF!</definedName>
    <definedName name="___________bri2" localSheetId="2">#REF!</definedName>
    <definedName name="___________bri2">#REF!</definedName>
    <definedName name="___________drb1">#REF!</definedName>
    <definedName name="___________drb2" localSheetId="4">#REF!</definedName>
    <definedName name="___________drb2" localSheetId="2">#REF!</definedName>
    <definedName name="___________drb2">#REF!</definedName>
    <definedName name="___________Ext2" localSheetId="4">#REF!</definedName>
    <definedName name="___________Ext2">#REF!</definedName>
    <definedName name="___________mat01">#REF!</definedName>
    <definedName name="___________mat02">#REF!</definedName>
    <definedName name="___________mat03">#REF!</definedName>
    <definedName name="___________mat04">#REF!</definedName>
    <definedName name="___________mat05">#REF!</definedName>
    <definedName name="___________mat06">#REF!</definedName>
    <definedName name="___________OUT98" localSheetId="4" hidden="1">{#N/A,#N/A,TRUE,"Serviços"}</definedName>
    <definedName name="___________OUT98" localSheetId="2" hidden="1">{#N/A,#N/A,TRUE,"Serviços"}</definedName>
    <definedName name="___________OUT98" hidden="1">{#N/A,#N/A,TRUE,"Serviços"}</definedName>
    <definedName name="___________pas10">#REF!</definedName>
    <definedName name="___________pas200" localSheetId="4">#REF!</definedName>
    <definedName name="___________pas200" localSheetId="2">#REF!</definedName>
    <definedName name="___________pas200">#REF!</definedName>
    <definedName name="___________pas40" localSheetId="4">#REF!</definedName>
    <definedName name="___________pas40" localSheetId="2">#REF!</definedName>
    <definedName name="___________pas40">#REF!</definedName>
    <definedName name="___________pen01">#REF!</definedName>
    <definedName name="___________pen02">#REF!</definedName>
    <definedName name="___________pen03">#REF!</definedName>
    <definedName name="___________pen04">#REF!</definedName>
    <definedName name="___________pen05">#REF!</definedName>
    <definedName name="___________pen06">#REF!</definedName>
    <definedName name="___________pen07">#REF!</definedName>
    <definedName name="___________pen08">#REF!</definedName>
    <definedName name="___________pen09">#REF!</definedName>
    <definedName name="___________pen10">#REF!</definedName>
    <definedName name="___________pen40">#REF!</definedName>
    <definedName name="___________Rbv1">#REF!</definedName>
    <definedName name="__________bri1" localSheetId="4">#REF!</definedName>
    <definedName name="__________bri1" localSheetId="2">#REF!</definedName>
    <definedName name="__________bri1">#REF!</definedName>
    <definedName name="__________bri2" localSheetId="4">#REF!</definedName>
    <definedName name="__________bri2" localSheetId="2">#REF!</definedName>
    <definedName name="__________bri2">#REF!</definedName>
    <definedName name="__________drb1">#REF!</definedName>
    <definedName name="__________drb2" localSheetId="4">#REF!</definedName>
    <definedName name="__________drb2" localSheetId="2">#REF!</definedName>
    <definedName name="__________drb2">#REF!</definedName>
    <definedName name="__________Ext2" localSheetId="4">#REF!</definedName>
    <definedName name="__________Ext2">#REF!</definedName>
    <definedName name="__________mat01">#REF!</definedName>
    <definedName name="__________mat02">#REF!</definedName>
    <definedName name="__________mat03">#REF!</definedName>
    <definedName name="__________mat04">#REF!</definedName>
    <definedName name="__________mat05">#REF!</definedName>
    <definedName name="__________mat06">#REF!</definedName>
    <definedName name="__________OUT98" localSheetId="4" hidden="1">{#N/A,#N/A,TRUE,"Serviços"}</definedName>
    <definedName name="__________OUT98" localSheetId="2" hidden="1">{#N/A,#N/A,TRUE,"Serviços"}</definedName>
    <definedName name="__________OUT98" hidden="1">{#N/A,#N/A,TRUE,"Serviços"}</definedName>
    <definedName name="__________pas10">#REF!</definedName>
    <definedName name="__________pas200" localSheetId="4">#REF!</definedName>
    <definedName name="__________pas200" localSheetId="2">#REF!</definedName>
    <definedName name="__________pas200">#REF!</definedName>
    <definedName name="__________pas40" localSheetId="4">#REF!</definedName>
    <definedName name="__________pas40" localSheetId="2">#REF!</definedName>
    <definedName name="__________pas40">#REF!</definedName>
    <definedName name="__________pen01">#REF!</definedName>
    <definedName name="__________pen02">#REF!</definedName>
    <definedName name="__________pen03">#REF!</definedName>
    <definedName name="__________pen04">#REF!</definedName>
    <definedName name="__________pen05">#REF!</definedName>
    <definedName name="__________pen06">#REF!</definedName>
    <definedName name="__________pen07">#REF!</definedName>
    <definedName name="__________pen08">#REF!</definedName>
    <definedName name="__________pen09">#REF!</definedName>
    <definedName name="__________pen10">#REF!</definedName>
    <definedName name="__________pen40">#REF!</definedName>
    <definedName name="__________PL1" localSheetId="4">#REF!</definedName>
    <definedName name="__________PL1" localSheetId="2">#REF!</definedName>
    <definedName name="__________PL1">#REF!</definedName>
    <definedName name="__________Rbv1">#REF!</definedName>
    <definedName name="_________bri1" localSheetId="4">#REF!</definedName>
    <definedName name="_________bri1" localSheetId="2">#REF!</definedName>
    <definedName name="_________bri1">#REF!</definedName>
    <definedName name="_________bri2" localSheetId="4">#REF!</definedName>
    <definedName name="_________bri2" localSheetId="2">#REF!</definedName>
    <definedName name="_________bri2">#REF!</definedName>
    <definedName name="_________drb1">#REF!</definedName>
    <definedName name="_________drb2" localSheetId="4">#REF!</definedName>
    <definedName name="_________drb2" localSheetId="2">#REF!</definedName>
    <definedName name="_________drb2">#REF!</definedName>
    <definedName name="_________Ext2" localSheetId="4">#REF!</definedName>
    <definedName name="_________Ext2">#REF!</definedName>
    <definedName name="_________mat01">#REF!</definedName>
    <definedName name="_________mat02">#REF!</definedName>
    <definedName name="_________mat03">#REF!</definedName>
    <definedName name="_________mat04">#REF!</definedName>
    <definedName name="_________mat05">#REF!</definedName>
    <definedName name="_________mat06">#REF!</definedName>
    <definedName name="_________OUT98" localSheetId="4" hidden="1">{#N/A,#N/A,TRUE,"Serviços"}</definedName>
    <definedName name="_________OUT98" localSheetId="2" hidden="1">{#N/A,#N/A,TRUE,"Serviços"}</definedName>
    <definedName name="_________OUT98" hidden="1">{#N/A,#N/A,TRUE,"Serviços"}</definedName>
    <definedName name="_________pas10" localSheetId="4">#REF!</definedName>
    <definedName name="_________pas10" localSheetId="2">#REF!</definedName>
    <definedName name="_________pas10">#REF!</definedName>
    <definedName name="_________pas200" localSheetId="4">#REF!</definedName>
    <definedName name="_________pas200" localSheetId="2">#REF!</definedName>
    <definedName name="_________pas200">#REF!</definedName>
    <definedName name="_________pas40" localSheetId="4">#REF!</definedName>
    <definedName name="_________pas40" localSheetId="2">#REF!</definedName>
    <definedName name="_________pas40">#REF!</definedName>
    <definedName name="_________pen01">#REF!</definedName>
    <definedName name="_________pen02">#REF!</definedName>
    <definedName name="_________pen03">#REF!</definedName>
    <definedName name="_________pen04">#REF!</definedName>
    <definedName name="_________pen05">#REF!</definedName>
    <definedName name="_________pen06">#REF!</definedName>
    <definedName name="_________pen07">#REF!</definedName>
    <definedName name="_________pen08">#REF!</definedName>
    <definedName name="_________pen09">#REF!</definedName>
    <definedName name="_________pen10">#REF!</definedName>
    <definedName name="_________pen40">#REF!</definedName>
    <definedName name="_________PL1" localSheetId="4">#REF!</definedName>
    <definedName name="_________PL1" localSheetId="2">#REF!</definedName>
    <definedName name="_________PL1">#REF!</definedName>
    <definedName name="_________Rbv1">#REF!</definedName>
    <definedName name="________bri1" localSheetId="4">#REF!</definedName>
    <definedName name="________bri1" localSheetId="2">#REF!</definedName>
    <definedName name="________bri1">#REF!</definedName>
    <definedName name="________bri2" localSheetId="4">#REF!</definedName>
    <definedName name="________bri2" localSheetId="2">#REF!</definedName>
    <definedName name="________bri2">#REF!</definedName>
    <definedName name="________drb1">#REF!</definedName>
    <definedName name="________drb2" localSheetId="4">#REF!</definedName>
    <definedName name="________drb2" localSheetId="2">#REF!</definedName>
    <definedName name="________drb2">#REF!</definedName>
    <definedName name="________Ext2" localSheetId="4">#REF!</definedName>
    <definedName name="________Ext2">#REF!</definedName>
    <definedName name="________mat01">#REF!</definedName>
    <definedName name="________mat02">#REF!</definedName>
    <definedName name="________mat03">#REF!</definedName>
    <definedName name="________mat04">#REF!</definedName>
    <definedName name="________mat05">#REF!</definedName>
    <definedName name="________mat06">#REF!</definedName>
    <definedName name="________OUT98" localSheetId="4" hidden="1">{#N/A,#N/A,TRUE,"Serviços"}</definedName>
    <definedName name="________OUT98" localSheetId="2" hidden="1">{#N/A,#N/A,TRUE,"Serviços"}</definedName>
    <definedName name="________OUT98" hidden="1">{#N/A,#N/A,TRUE,"Serviços"}</definedName>
    <definedName name="________pas10" localSheetId="4">#REF!</definedName>
    <definedName name="________pas10" localSheetId="2">#REF!</definedName>
    <definedName name="________pas10">#REF!</definedName>
    <definedName name="________pas200" localSheetId="4">#REF!</definedName>
    <definedName name="________pas200" localSheetId="2">#REF!</definedName>
    <definedName name="________pas200">#REF!</definedName>
    <definedName name="________pas40" localSheetId="4">#REF!</definedName>
    <definedName name="________pas40" localSheetId="2">#REF!</definedName>
    <definedName name="________pas40">#REF!</definedName>
    <definedName name="________pen01">#REF!</definedName>
    <definedName name="________pen02">#REF!</definedName>
    <definedName name="________pen03">#REF!</definedName>
    <definedName name="________pen04">#REF!</definedName>
    <definedName name="________pen05">#REF!</definedName>
    <definedName name="________pen06">#REF!</definedName>
    <definedName name="________pen07">#REF!</definedName>
    <definedName name="________pen08">#REF!</definedName>
    <definedName name="________pen09">#REF!</definedName>
    <definedName name="________pen10">#REF!</definedName>
    <definedName name="________pen40">#REF!</definedName>
    <definedName name="________PL1" localSheetId="4">#REF!</definedName>
    <definedName name="________PL1" localSheetId="2">#REF!</definedName>
    <definedName name="________PL1">#REF!</definedName>
    <definedName name="________Rbv1">#REF!</definedName>
    <definedName name="_______bri1" localSheetId="4">#REF!</definedName>
    <definedName name="_______bri1" localSheetId="2">#REF!</definedName>
    <definedName name="_______bri1">#REF!</definedName>
    <definedName name="_______bri2" localSheetId="4">#REF!</definedName>
    <definedName name="_______bri2" localSheetId="2">#REF!</definedName>
    <definedName name="_______bri2">#REF!</definedName>
    <definedName name="_______drb1">#REF!</definedName>
    <definedName name="_______drb2" localSheetId="4">#REF!</definedName>
    <definedName name="_______drb2" localSheetId="2">#REF!</definedName>
    <definedName name="_______drb2">#REF!</definedName>
    <definedName name="_______Ext2" localSheetId="4">#REF!</definedName>
    <definedName name="_______Ext2">#REF!</definedName>
    <definedName name="_______mat01">#REF!</definedName>
    <definedName name="_______mat02">#REF!</definedName>
    <definedName name="_______mat03">#REF!</definedName>
    <definedName name="_______mat04">#REF!</definedName>
    <definedName name="_______mat05">#REF!</definedName>
    <definedName name="_______mat06">#REF!</definedName>
    <definedName name="_______OUT98" localSheetId="4" hidden="1">{#N/A,#N/A,TRUE,"Serviços"}</definedName>
    <definedName name="_______OUT98" localSheetId="2" hidden="1">{#N/A,#N/A,TRUE,"Serviços"}</definedName>
    <definedName name="_______OUT98" hidden="1">{#N/A,#N/A,TRUE,"Serviços"}</definedName>
    <definedName name="_______pas10">#REF!</definedName>
    <definedName name="_______pas200" localSheetId="4">#REF!</definedName>
    <definedName name="_______pas200" localSheetId="2">#REF!</definedName>
    <definedName name="_______pas200">#REF!</definedName>
    <definedName name="_______pas40" localSheetId="4">#REF!</definedName>
    <definedName name="_______pas40" localSheetId="2">#REF!</definedName>
    <definedName name="_______pas40">#REF!</definedName>
    <definedName name="_______pen01">#REF!</definedName>
    <definedName name="_______pen02">#REF!</definedName>
    <definedName name="_______pen03">#REF!</definedName>
    <definedName name="_______pen04">#REF!</definedName>
    <definedName name="_______pen05">#REF!</definedName>
    <definedName name="_______pen06">#REF!</definedName>
    <definedName name="_______pen07">#REF!</definedName>
    <definedName name="_______pen08">#REF!</definedName>
    <definedName name="_______pen09">#REF!</definedName>
    <definedName name="_______pen10">#REF!</definedName>
    <definedName name="_______pen40">#REF!</definedName>
    <definedName name="_______PL1" localSheetId="4">#REF!</definedName>
    <definedName name="_______PL1" localSheetId="2">#REF!</definedName>
    <definedName name="_______PL1">#REF!</definedName>
    <definedName name="_______Rbv1">#REF!</definedName>
    <definedName name="______bri1" localSheetId="4">#REF!</definedName>
    <definedName name="______bri1" localSheetId="2">#REF!</definedName>
    <definedName name="______bri1">#REF!</definedName>
    <definedName name="______bri2" localSheetId="4">#REF!</definedName>
    <definedName name="______bri2" localSheetId="2">#REF!</definedName>
    <definedName name="______bri2">#REF!</definedName>
    <definedName name="______drb1">#REF!</definedName>
    <definedName name="______drb2" localSheetId="4">#REF!</definedName>
    <definedName name="______drb2" localSheetId="2">#REF!</definedName>
    <definedName name="______drb2">#REF!</definedName>
    <definedName name="______Ext2" localSheetId="4">#REF!</definedName>
    <definedName name="______Ext2">#REF!</definedName>
    <definedName name="______mat01">#REF!</definedName>
    <definedName name="______mat02">#REF!</definedName>
    <definedName name="______mat03">#REF!</definedName>
    <definedName name="______mat04">#REF!</definedName>
    <definedName name="______mat05">#REF!</definedName>
    <definedName name="______mat06">#REF!</definedName>
    <definedName name="______OUT98" localSheetId="4" hidden="1">{#N/A,#N/A,TRUE,"Serviços"}</definedName>
    <definedName name="______OUT98" localSheetId="2" hidden="1">{#N/A,#N/A,TRUE,"Serviços"}</definedName>
    <definedName name="______OUT98" hidden="1">{#N/A,#N/A,TRUE,"Serviços"}</definedName>
    <definedName name="______pas10" localSheetId="4">#REF!</definedName>
    <definedName name="______pas10" localSheetId="2">#REF!</definedName>
    <definedName name="______pas10">#REF!</definedName>
    <definedName name="______pas200" localSheetId="4">#REF!</definedName>
    <definedName name="______pas200" localSheetId="2">#REF!</definedName>
    <definedName name="______pas200">#REF!</definedName>
    <definedName name="______pas40" localSheetId="4">#REF!</definedName>
    <definedName name="______pas40" localSheetId="2">#REF!</definedName>
    <definedName name="______pas40">#REF!</definedName>
    <definedName name="______pen01">#REF!</definedName>
    <definedName name="______pen02">#REF!</definedName>
    <definedName name="______pen03">#REF!</definedName>
    <definedName name="______pen04">#REF!</definedName>
    <definedName name="______pen05">#REF!</definedName>
    <definedName name="______pen06">#REF!</definedName>
    <definedName name="______pen07">#REF!</definedName>
    <definedName name="______pen08">#REF!</definedName>
    <definedName name="______pen09">#REF!</definedName>
    <definedName name="______pen10">#REF!</definedName>
    <definedName name="______pen40">#REF!</definedName>
    <definedName name="______PL1" localSheetId="4">#REF!</definedName>
    <definedName name="______PL1" localSheetId="2">#REF!</definedName>
    <definedName name="______PL1">#REF!</definedName>
    <definedName name="______r" localSheetId="4">#REF!</definedName>
    <definedName name="______r" localSheetId="2">#REF!</definedName>
    <definedName name="______r">#REF!</definedName>
    <definedName name="______Rbv1">#REF!</definedName>
    <definedName name="_____bri1" localSheetId="4">#REF!</definedName>
    <definedName name="_____bri1" localSheetId="2">#REF!</definedName>
    <definedName name="_____bri1">#REF!</definedName>
    <definedName name="_____bri2" localSheetId="4">#REF!</definedName>
    <definedName name="_____bri2" localSheetId="2">#REF!</definedName>
    <definedName name="_____bri2">#REF!</definedName>
    <definedName name="_____drb1">#REF!</definedName>
    <definedName name="_____drb2" localSheetId="4">#REF!</definedName>
    <definedName name="_____drb2" localSheetId="2">#REF!</definedName>
    <definedName name="_____drb2">#REF!</definedName>
    <definedName name="_____Ext2" localSheetId="4">#REF!</definedName>
    <definedName name="_____Ext2">#REF!</definedName>
    <definedName name="_____mat01">#REF!</definedName>
    <definedName name="_____mat02">#REF!</definedName>
    <definedName name="_____mat03">#REF!</definedName>
    <definedName name="_____mat04">#REF!</definedName>
    <definedName name="_____mat05">#REF!</definedName>
    <definedName name="_____mat06">#REF!</definedName>
    <definedName name="_____OUT98" localSheetId="4" hidden="1">{#N/A,#N/A,TRUE,"Serviços"}</definedName>
    <definedName name="_____OUT98" localSheetId="2" hidden="1">{#N/A,#N/A,TRUE,"Serviços"}</definedName>
    <definedName name="_____OUT98" hidden="1">{#N/A,#N/A,TRUE,"Serviços"}</definedName>
    <definedName name="_____pas10">#REF!</definedName>
    <definedName name="_____pas200" localSheetId="4">#REF!</definedName>
    <definedName name="_____pas200" localSheetId="2">#REF!</definedName>
    <definedName name="_____pas200">#REF!</definedName>
    <definedName name="_____pas40" localSheetId="4">#REF!</definedName>
    <definedName name="_____pas40" localSheetId="2">#REF!</definedName>
    <definedName name="_____pas40">#REF!</definedName>
    <definedName name="_____pen01">#REF!</definedName>
    <definedName name="_____pen02">#REF!</definedName>
    <definedName name="_____pen03">#REF!</definedName>
    <definedName name="_____pen04">#REF!</definedName>
    <definedName name="_____pen05">#REF!</definedName>
    <definedName name="_____pen06">#REF!</definedName>
    <definedName name="_____pen07">#REF!</definedName>
    <definedName name="_____pen08">#REF!</definedName>
    <definedName name="_____pen09">#REF!</definedName>
    <definedName name="_____pen10">#REF!</definedName>
    <definedName name="_____pen40">#REF!</definedName>
    <definedName name="_____PL1" localSheetId="4">#REF!</definedName>
    <definedName name="_____PL1" localSheetId="2">#REF!</definedName>
    <definedName name="_____PL1">#REF!</definedName>
    <definedName name="_____qq3" localSheetId="4">'Controle Pluv.'!_____qq3</definedName>
    <definedName name="_____qq3" localSheetId="2">Equipamentos!_____qq3</definedName>
    <definedName name="_____qq3">#REF!</definedName>
    <definedName name="_____r" localSheetId="4">#REF!</definedName>
    <definedName name="_____r" localSheetId="2">#REF!</definedName>
    <definedName name="_____r">#REF!</definedName>
    <definedName name="_____Rbv1">#REF!</definedName>
    <definedName name="____bri1" localSheetId="4">#REF!</definedName>
    <definedName name="____bri1" localSheetId="2">#REF!</definedName>
    <definedName name="____bri1">#REF!</definedName>
    <definedName name="____bri2" localSheetId="4">#REF!</definedName>
    <definedName name="____bri2" localSheetId="2">#REF!</definedName>
    <definedName name="____bri2">#REF!</definedName>
    <definedName name="____drb1">#REF!</definedName>
    <definedName name="____drb2" localSheetId="4">#REF!</definedName>
    <definedName name="____drb2" localSheetId="2">#REF!</definedName>
    <definedName name="____drb2">#REF!</definedName>
    <definedName name="____Ext2" localSheetId="4">#REF!</definedName>
    <definedName name="____Ext2">#REF!</definedName>
    <definedName name="____ki5" localSheetId="4">#REF!</definedName>
    <definedName name="____ki5" localSheetId="2">#REF!</definedName>
    <definedName name="____ki5">#REF!</definedName>
    <definedName name="____mat01">#REF!</definedName>
    <definedName name="____mat02">#REF!</definedName>
    <definedName name="____mat03">#REF!</definedName>
    <definedName name="____mat04">#REF!</definedName>
    <definedName name="____mat05">#REF!</definedName>
    <definedName name="____mat06">#REF!</definedName>
    <definedName name="____OUT98" localSheetId="4" hidden="1">{#N/A,#N/A,TRUE,"Serviços"}</definedName>
    <definedName name="____OUT98" localSheetId="2" hidden="1">{#N/A,#N/A,TRUE,"Serviços"}</definedName>
    <definedName name="____OUT98" hidden="1">{#N/A,#N/A,TRUE,"Serviços"}</definedName>
    <definedName name="____pas10" localSheetId="4">#REF!</definedName>
    <definedName name="____pas10" localSheetId="2">#REF!</definedName>
    <definedName name="____pas10">#REF!</definedName>
    <definedName name="____pas200" localSheetId="4">#REF!</definedName>
    <definedName name="____pas200" localSheetId="2">#REF!</definedName>
    <definedName name="____pas200">#REF!</definedName>
    <definedName name="____pas40" localSheetId="4">#REF!</definedName>
    <definedName name="____pas40" localSheetId="2">#REF!</definedName>
    <definedName name="____pas40">#REF!</definedName>
    <definedName name="____pen01">#REF!</definedName>
    <definedName name="____pen02">#REF!</definedName>
    <definedName name="____pen03">#REF!</definedName>
    <definedName name="____pen04">#REF!</definedName>
    <definedName name="____pen05">#REF!</definedName>
    <definedName name="____pen06">#REF!</definedName>
    <definedName name="____pen07">#REF!</definedName>
    <definedName name="____pen08">#REF!</definedName>
    <definedName name="____pen09">#REF!</definedName>
    <definedName name="____pen10">#REF!</definedName>
    <definedName name="____pen40">#REF!</definedName>
    <definedName name="____PL1" localSheetId="4">#REF!</definedName>
    <definedName name="____PL1" localSheetId="2">#REF!</definedName>
    <definedName name="____PL1">#REF!</definedName>
    <definedName name="____qq3">#N/A</definedName>
    <definedName name="____r" localSheetId="4">#REF!</definedName>
    <definedName name="____r" localSheetId="2">#REF!</definedName>
    <definedName name="____r">#REF!</definedName>
    <definedName name="____Rbv1">#REF!</definedName>
    <definedName name="___bri1" localSheetId="4">#REF!</definedName>
    <definedName name="___bri1" localSheetId="2">#REF!</definedName>
    <definedName name="___bri1">#REF!</definedName>
    <definedName name="___bri2" localSheetId="4">#REF!</definedName>
    <definedName name="___bri2" localSheetId="2">#REF!</definedName>
    <definedName name="___bri2">#REF!</definedName>
    <definedName name="___drb1">#REF!</definedName>
    <definedName name="___drb2" localSheetId="4">#REF!</definedName>
    <definedName name="___drb2" localSheetId="2">#REF!</definedName>
    <definedName name="___drb2">#REF!</definedName>
    <definedName name="___JAN2003" localSheetId="4">#REF!</definedName>
    <definedName name="___JAN2003" localSheetId="2">#REF!</definedName>
    <definedName name="___JAN2003">#REF!</definedName>
    <definedName name="___mat01">#REF!</definedName>
    <definedName name="___mat02">#REF!</definedName>
    <definedName name="___mat03">#REF!</definedName>
    <definedName name="___mat04">#REF!</definedName>
    <definedName name="___mat05">#REF!</definedName>
    <definedName name="___mat06">#REF!</definedName>
    <definedName name="___OUT98" localSheetId="4" hidden="1">{#N/A,#N/A,TRUE,"Serviços"}</definedName>
    <definedName name="___OUT98" localSheetId="2" hidden="1">{#N/A,#N/A,TRUE,"Serviços"}</definedName>
    <definedName name="___OUT98" hidden="1">{#N/A,#N/A,TRUE,"Serviços"}</definedName>
    <definedName name="___pas10" localSheetId="4">#REF!</definedName>
    <definedName name="___pas10" localSheetId="2">#REF!</definedName>
    <definedName name="___pas10">#REF!</definedName>
    <definedName name="___pas200" localSheetId="4">#REF!</definedName>
    <definedName name="___pas200" localSheetId="2">#REF!</definedName>
    <definedName name="___pas200">#REF!</definedName>
    <definedName name="___pas40" localSheetId="4">#REF!</definedName>
    <definedName name="___pas40" localSheetId="2">#REF!</definedName>
    <definedName name="___pas40">#REF!</definedName>
    <definedName name="___pen01">#REF!</definedName>
    <definedName name="___pen02">#REF!</definedName>
    <definedName name="___pen03">#REF!</definedName>
    <definedName name="___pen04">#REF!</definedName>
    <definedName name="___pen05">#REF!</definedName>
    <definedName name="___pen06">#REF!</definedName>
    <definedName name="___pen07">#REF!</definedName>
    <definedName name="___pen08">#REF!</definedName>
    <definedName name="___pen09">#REF!</definedName>
    <definedName name="___pen10">#REF!</definedName>
    <definedName name="___pen40">#REF!</definedName>
    <definedName name="___PL1" localSheetId="4">#REF!</definedName>
    <definedName name="___PL1" localSheetId="2">#REF!</definedName>
    <definedName name="___PL1">#REF!</definedName>
    <definedName name="___qq3" localSheetId="4">'Controle Pluv.'!___qq3</definedName>
    <definedName name="___qq3" localSheetId="2">Equipamentos!___qq3</definedName>
    <definedName name="___qq3">#REF!</definedName>
    <definedName name="___r" localSheetId="4">#REF!</definedName>
    <definedName name="___r" localSheetId="2">#REF!</definedName>
    <definedName name="___r">#REF!</definedName>
    <definedName name="___Rbv1">#REF!</definedName>
    <definedName name="__123Graph_A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B" hidden="1">#REF!</definedName>
    <definedName name="__123Graph_BGraph1" hidden="1">#REF!</definedName>
    <definedName name="__123Graph_BGraph10" hidden="1">#REF!</definedName>
    <definedName name="__123Graph_BGraph11" hidden="1">#REF!</definedName>
    <definedName name="__123Graph_BGraph12" hidden="1">#REF!</definedName>
    <definedName name="__123Graph_BGraph2" hidden="1">#REF!</definedName>
    <definedName name="__123Graph_BGraph3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C" hidden="1">#REF!</definedName>
    <definedName name="__123Graph_CGraph7" hidden="1">#REF!</definedName>
    <definedName name="__123Graph_CGraph8" hidden="1">#REF!</definedName>
    <definedName name="__123Graph_D" hidden="1">#REF!</definedName>
    <definedName name="__123Graph_DGraph7" hidden="1">#REF!</definedName>
    <definedName name="__123Graph_DGraph8" hidden="1">#REF!</definedName>
    <definedName name="__123Graph_E" hidden="1">#REF!</definedName>
    <definedName name="__123Graph_EGraph7" hidden="1">#REF!</definedName>
    <definedName name="__123Graph_EGraph8" hidden="1">#REF!</definedName>
    <definedName name="__123Graph_X" hidden="1">#REF!</definedName>
    <definedName name="__123Graph_XGraph1" hidden="1">#REF!</definedName>
    <definedName name="__123Graph_XGraph10" hidden="1">#REF!</definedName>
    <definedName name="__123Graph_XGraph11" hidden="1">#REF!</definedName>
    <definedName name="__123Graph_XGraph12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KK__KKK" hidden="1">#REF!</definedName>
    <definedName name="__bri1" localSheetId="4">#REF!</definedName>
    <definedName name="__bri1" localSheetId="2">#REF!</definedName>
    <definedName name="__bri1">#REF!</definedName>
    <definedName name="__bri2" localSheetId="4">#REF!</definedName>
    <definedName name="__bri2" localSheetId="2">#REF!</definedName>
    <definedName name="__bri2">#REF!</definedName>
    <definedName name="__drb1">#REF!</definedName>
    <definedName name="__drb2" localSheetId="4">#REF!</definedName>
    <definedName name="__drb2" localSheetId="2">#REF!</definedName>
    <definedName name="__drb2">#REF!</definedName>
    <definedName name="__Ext2" localSheetId="4">#REF!</definedName>
    <definedName name="__Ext2">#REF!</definedName>
    <definedName name="__IntlFixup" hidden="1">TRUE</definedName>
    <definedName name="__JAN2003" localSheetId="4">#REF!</definedName>
    <definedName name="__JAN2003" localSheetId="2">#REF!</definedName>
    <definedName name="__JAN2003">#REF!</definedName>
    <definedName name="__ki5" localSheetId="4">#REF!</definedName>
    <definedName name="__ki5" localSheetId="2">#REF!</definedName>
    <definedName name="__ki5">#REF!</definedName>
    <definedName name="__mat01">#REF!</definedName>
    <definedName name="__mat02">#REF!</definedName>
    <definedName name="__mat03">#REF!</definedName>
    <definedName name="__mat04">#REF!</definedName>
    <definedName name="__mat05">#REF!</definedName>
    <definedName name="__mat06">#REF!</definedName>
    <definedName name="__OUT98" localSheetId="4" hidden="1">{#N/A,#N/A,TRUE,"Serviços"}</definedName>
    <definedName name="__OUT98" localSheetId="2" hidden="1">{#N/A,#N/A,TRUE,"Serviços"}</definedName>
    <definedName name="__OUT98" hidden="1">{#N/A,#N/A,TRUE,"Serviços"}</definedName>
    <definedName name="__pen01">#REF!</definedName>
    <definedName name="__pen02">#REF!</definedName>
    <definedName name="__pen03">#REF!</definedName>
    <definedName name="__pen04">#REF!</definedName>
    <definedName name="__pen05">#REF!</definedName>
    <definedName name="__pen06">#REF!</definedName>
    <definedName name="__pen07">#REF!</definedName>
    <definedName name="__pen08">#REF!</definedName>
    <definedName name="__pen09">#REF!</definedName>
    <definedName name="__pen10">#REF!</definedName>
    <definedName name="__pen40">#REF!</definedName>
    <definedName name="__PL1" localSheetId="4">#REF!</definedName>
    <definedName name="__PL1" localSheetId="2">#REF!</definedName>
    <definedName name="__PL1">#REF!</definedName>
    <definedName name="__qq3">#N/A</definedName>
    <definedName name="__r" localSheetId="4">#REF!</definedName>
    <definedName name="__r" localSheetId="2">#REF!</definedName>
    <definedName name="__r">#REF!</definedName>
    <definedName name="__Rbv1">#REF!</definedName>
    <definedName name="_01_09_96" localSheetId="4">#REF!</definedName>
    <definedName name="_01_09_96" localSheetId="2">#REF!</definedName>
    <definedName name="_01_09_96">#REF!</definedName>
    <definedName name="_1__123Graph_FCHART_1" hidden="1">#REF!</definedName>
    <definedName name="_108__123Graph_XCHART_1" localSheetId="4" hidden="1">#REF!</definedName>
    <definedName name="_108__123Graph_XCHART_1" hidden="1">#REF!</definedName>
    <definedName name="_1Excel_BuiltIn_Print_Area_3_1_3">#REF!</definedName>
    <definedName name="_2__123Graph_FCHART_1" hidden="1">#REF!</definedName>
    <definedName name="_2__123Graph_XCHART_1" hidden="1">#REF!</definedName>
    <definedName name="_2Excel_BuiltIn_Print_Area_3_1_5">#REF!</definedName>
    <definedName name="_3__123Graph_FCHART_1" hidden="1">#REF!</definedName>
    <definedName name="_3Excel_BuiltIn_Print_Area_3_1">#REF!</definedName>
    <definedName name="_3Excel_BuiltIn_Print_Area_3_1_14">#REF!</definedName>
    <definedName name="_4__123Graph_XCHART_1" hidden="1">#REF!</definedName>
    <definedName name="_4Excel_BuiltIn_Print_Area_3_1_8">#REF!</definedName>
    <definedName name="_54__123Graph_FCHART_1" localSheetId="4" hidden="1">#REF!</definedName>
    <definedName name="_54__123Graph_FCHART_1" hidden="1">#REF!</definedName>
    <definedName name="_5Excel_BuiltIn_Print_Area_3_1">#REF!</definedName>
    <definedName name="_6__123Graph_XCHART_1" hidden="1">#REF!</definedName>
    <definedName name="_7Excel_BuiltIn_Print_Area_3_1">#REF!</definedName>
    <definedName name="_bri1">#N/A</definedName>
    <definedName name="_bri2">#N/A</definedName>
    <definedName name="_brv2">#REF!</definedName>
    <definedName name="_drb1">#N/A</definedName>
    <definedName name="_drb2">#N/A</definedName>
    <definedName name="_Ext2" localSheetId="4">#REF!</definedName>
    <definedName name="_Ext2">#REF!</definedName>
    <definedName name="_Fill" hidden="1">#REF!</definedName>
    <definedName name="_FilterDatabase" localSheetId="2" hidden="1">Equipamentos!$C$15:$J$15</definedName>
    <definedName name="_xlnm._FilterDatabase" localSheetId="2" hidden="1">Equipamentos!$C$12:$J$67</definedName>
    <definedName name="_JAN2003" localSheetId="4">#REF!</definedName>
    <definedName name="_JAN2003" localSheetId="2">#REF!</definedName>
    <definedName name="_JAN2003">#REF!</definedName>
    <definedName name="_ki5" localSheetId="4">#REF!</definedName>
    <definedName name="_ki5" localSheetId="2">#REF!</definedName>
    <definedName name="_ki5">#REF!</definedName>
    <definedName name="_mat01">#REF!</definedName>
    <definedName name="_mat02">#REF!</definedName>
    <definedName name="_mat03">#REF!</definedName>
    <definedName name="_mat04">#REF!</definedName>
    <definedName name="_mat05">#REF!</definedName>
    <definedName name="_mat06">#REF!</definedName>
    <definedName name="_Order1" hidden="1">0</definedName>
    <definedName name="_Order2" hidden="1">0</definedName>
    <definedName name="_OUT98" localSheetId="4" hidden="1">{#N/A,#N/A,TRUE,"Serviços"}</definedName>
    <definedName name="_OUT98" localSheetId="2" hidden="1">{#N/A,#N/A,TRUE,"Serviços"}</definedName>
    <definedName name="_OUT98" hidden="1">{#N/A,#N/A,TRUE,"Serviços"}</definedName>
    <definedName name="_pas10">#N/A</definedName>
    <definedName name="_pas200">#N/A</definedName>
    <definedName name="_pas40">#N/A</definedName>
    <definedName name="_pen01">#REF!</definedName>
    <definedName name="_pen02">#REF!</definedName>
    <definedName name="_pen03">#REF!</definedName>
    <definedName name="_pen04">#REF!</definedName>
    <definedName name="_pen05">#REF!</definedName>
    <definedName name="_pen06">#REF!</definedName>
    <definedName name="_pen07">#REF!</definedName>
    <definedName name="_pen08">#REF!</definedName>
    <definedName name="_pen09">#REF!</definedName>
    <definedName name="_pen10">#REF!</definedName>
    <definedName name="_pen40">#REF!</definedName>
    <definedName name="_PL1" localSheetId="4">#REF!</definedName>
    <definedName name="_PL1" localSheetId="2">#REF!</definedName>
    <definedName name="_PL1">#REF!</definedName>
    <definedName name="_qq3">#REF!</definedName>
    <definedName name="_r" localSheetId="4">#REF!</definedName>
    <definedName name="_r" localSheetId="2">#REF!</definedName>
    <definedName name="_r">#REF!</definedName>
    <definedName name="_Rbv1">#REF!</definedName>
    <definedName name="_Regression_Int" hidden="1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OD1">#REF!</definedName>
    <definedName name="_tab01">#REF!</definedName>
    <definedName name="A" localSheetId="4">#REF!</definedName>
    <definedName name="A">#REF!</definedName>
    <definedName name="A_impresión_IM">#REF!</definedName>
    <definedName name="A_impresión_IM_3">#N/A</definedName>
    <definedName name="A_impresión_IM_5">#N/A</definedName>
    <definedName name="A_impresión_IM_8">#N/A</definedName>
    <definedName name="A1CÓDIGO">#N/A</definedName>
    <definedName name="AA" localSheetId="4">'Controle Pluv.'!AA</definedName>
    <definedName name="AA" localSheetId="2">Equipamentos!AA</definedName>
    <definedName name="AA">#REF!</definedName>
    <definedName name="aaa" localSheetId="4">'Controle Pluv.'!aaa</definedName>
    <definedName name="aaa" localSheetId="2">Equipamentos!aaa</definedName>
    <definedName name="aaa">#REF!</definedName>
    <definedName name="AAAA">#REF!</definedName>
    <definedName name="AAAAA" localSheetId="4">'Controle Pluv.'!AAAAA</definedName>
    <definedName name="AAAAA" localSheetId="2">Equipamentos!AAAAA</definedName>
    <definedName name="AAAAA">#REF!</definedName>
    <definedName name="AAAAAA" localSheetId="4">'Controle Pluv.'!AAAAAA</definedName>
    <definedName name="AAAAAA" localSheetId="2">Equipamentos!AAAAAA</definedName>
    <definedName name="AAAAAA">#REF!</definedName>
    <definedName name="aaaaaaaa" localSheetId="4">'Controle Pluv.'!aaaaaaaa</definedName>
    <definedName name="aaaaaaaa" localSheetId="2">Equipamentos!aaaaaaaa</definedName>
    <definedName name="aaaaaaaa">#REF!</definedName>
    <definedName name="aaaaaaaaaaaaaaaaaaaa">#REF!</definedName>
    <definedName name="ABERTURA">#REF!</definedName>
    <definedName name="abx123456789">#REF!</definedName>
    <definedName name="ACAP20RP">#REF!</definedName>
    <definedName name="ACAP20RPMA">#REF!</definedName>
    <definedName name="ACAP20RPTA">#REF!</definedName>
    <definedName name="ACAP21RPMA">#REF!</definedName>
    <definedName name="ACAPATA">#REF!</definedName>
    <definedName name="ACAPPA">#REF!</definedName>
    <definedName name="ACAPPAMA">#REF!</definedName>
    <definedName name="ACAPPATA">#REF!</definedName>
    <definedName name="ACAPRS">#REF!</definedName>
    <definedName name="ACAPRSMA">#REF!</definedName>
    <definedName name="ACAPRSTA">#REF!</definedName>
    <definedName name="ACM30RP">#REF!</definedName>
    <definedName name="ACM30RPMA">#REF!</definedName>
    <definedName name="ACM30RPTA">#REF!</definedName>
    <definedName name="ACUMVPI">#REF!</definedName>
    <definedName name="adfedfds" localSheetId="4">'Controle Pluv.'!adfedfds</definedName>
    <definedName name="adfedfds" localSheetId="2">Equipamentos!adfedfds</definedName>
    <definedName name="adfedfds">#REF!</definedName>
    <definedName name="adici">#N/A</definedName>
    <definedName name="ADSF">#REF!</definedName>
    <definedName name="AEP">#REF!</definedName>
    <definedName name="AEPTA">#REF!</definedName>
    <definedName name="AFD">#REF!</definedName>
    <definedName name="Alfaka">#REF!</definedName>
    <definedName name="ALTA" localSheetId="4">#REF!</definedName>
    <definedName name="ALTA">#REF!</definedName>
    <definedName name="amarela" localSheetId="4">#REF!</definedName>
    <definedName name="amarela" localSheetId="2">#REF!</definedName>
    <definedName name="amarela">#REF!</definedName>
    <definedName name="amostra">#N/A</definedName>
    <definedName name="amtotal">#N/A</definedName>
    <definedName name="anscount">1</definedName>
    <definedName name="area">#REF!</definedName>
    <definedName name="_xlnm.Print_Area" localSheetId="3">'Ação Corretiva'!$A$1:$M$33</definedName>
    <definedName name="_xlnm.Print_Area" localSheetId="4">'Controle Pluv.'!$B$1:$O$76</definedName>
    <definedName name="_xlnm.Print_Area" localSheetId="2">Equipamentos!$A$1:$L$69</definedName>
    <definedName name="_xlnm.Print_Area" localSheetId="0">'Equipe Técnica Exec.'!$A$1:$N$244</definedName>
    <definedName name="_xlnm.Print_Area">#REF!</definedName>
    <definedName name="Área_impressão_IM" localSheetId="4">#REF!</definedName>
    <definedName name="Área_impressão_IM" localSheetId="2">#REF!</definedName>
    <definedName name="Área_impressão_IM">#REF!</definedName>
    <definedName name="arei">#N/A</definedName>
    <definedName name="areia" localSheetId="4">#REF!</definedName>
    <definedName name="areia">#REF!</definedName>
    <definedName name="ARL1C">#REF!</definedName>
    <definedName name="ARL1CMA">#REF!</definedName>
    <definedName name="ARL1CTA">#REF!</definedName>
    <definedName name="ARR1CFRESA">#REF!</definedName>
    <definedName name="ARR1CPA">#REF!</definedName>
    <definedName name="ARR1CPAMA">#REF!</definedName>
    <definedName name="ARR1CPATA">#REF!</definedName>
    <definedName name="ARR1CRS">#REF!</definedName>
    <definedName name="ARR1CRSMA">#REF!</definedName>
    <definedName name="ARR1CRSTA">#REF!</definedName>
    <definedName name="ASASA">#REF!</definedName>
    <definedName name="asd" localSheetId="4">#REF!</definedName>
    <definedName name="asd" localSheetId="2">#REF!</definedName>
    <definedName name="asd">#REF!</definedName>
    <definedName name="ASDASD">#REF!</definedName>
    <definedName name="ASDDAS">#REF!</definedName>
    <definedName name="ASDF" localSheetId="4" hidden="1">{#N/A,#N/A,TRUE,"Serviços"}</definedName>
    <definedName name="ASDF" localSheetId="2" hidden="1">{#N/A,#N/A,TRUE,"Serviços"}</definedName>
    <definedName name="ASDF" hidden="1">{#N/A,#N/A,TRUE,"Serviços"}</definedName>
    <definedName name="ASDFG" localSheetId="4" hidden="1">{#N/A,#N/A,TRUE,"Serviços"}</definedName>
    <definedName name="ASDFG" localSheetId="2" hidden="1">{#N/A,#N/A,TRUE,"Serviços"}</definedName>
    <definedName name="ASDFG" hidden="1">{#N/A,#N/A,TRUE,"Serviços"}</definedName>
    <definedName name="ASDGF">#REF!</definedName>
    <definedName name="ASFGG" localSheetId="4" hidden="1">{#N/A,#N/A,TRUE,"Serviços"}</definedName>
    <definedName name="ASFGG" localSheetId="2" hidden="1">{#N/A,#N/A,TRUE,"Serviços"}</definedName>
    <definedName name="ASFGG" hidden="1">{#N/A,#N/A,TRUE,"Serviços"}</definedName>
    <definedName name="assina1">#REF!</definedName>
    <definedName name="assina2">#REF!</definedName>
    <definedName name="Atual" localSheetId="4">#REF!</definedName>
    <definedName name="Atual">#REF!</definedName>
    <definedName name="Aut_original" localSheetId="4">#REF!</definedName>
    <definedName name="Aut_original">#REF!</definedName>
    <definedName name="Aut_res" localSheetId="4">#REF!</definedName>
    <definedName name="Aut_res">#REF!</definedName>
    <definedName name="Aut_resumo" localSheetId="4">#REF!</definedName>
    <definedName name="Aut_resumo">#REF!</definedName>
    <definedName name="ax">#REF!</definedName>
    <definedName name="azul" localSheetId="4">#REF!</definedName>
    <definedName name="azul" localSheetId="2">#REF!</definedName>
    <definedName name="azul">#REF!</definedName>
    <definedName name="AZULSINAL" localSheetId="4">#REF!</definedName>
    <definedName name="AZULSINAL" localSheetId="2">#REF!</definedName>
    <definedName name="AZULSINAL">#REF!</definedName>
    <definedName name="B" localSheetId="4">'Controle Pluv.'!B</definedName>
    <definedName name="B" localSheetId="2">Equipamentos!B</definedName>
    <definedName name="B">#REF!</definedName>
    <definedName name="_xlnm.Database" localSheetId="4">#REF!</definedName>
    <definedName name="_xlnm.Database" localSheetId="2">#REF!</definedName>
    <definedName name="_xlnm.Database">#REF!</definedName>
    <definedName name="BASE">#REF!</definedName>
    <definedName name="BASEMA">#REF!</definedName>
    <definedName name="BASETA">#REF!</definedName>
    <definedName name="BB">#REF!</definedName>
    <definedName name="BDI" localSheetId="4">#REF!</definedName>
    <definedName name="BDI" localSheetId="2">#REF!</definedName>
    <definedName name="BDI">#REF!</definedName>
    <definedName name="BG" localSheetId="4">#REF!</definedName>
    <definedName name="BG" localSheetId="2">#REF!</definedName>
    <definedName name="BG">#REF!</definedName>
    <definedName name="BGU" localSheetId="4">#REF!</definedName>
    <definedName name="BGU" localSheetId="2">#REF!</definedName>
    <definedName name="BGU">#REF!</definedName>
    <definedName name="BI">#REF!</definedName>
    <definedName name="bica">#N/A</definedName>
    <definedName name="BII">#REF!</definedName>
    <definedName name="bonificação" localSheetId="4">#REF!</definedName>
    <definedName name="bonificação" localSheetId="2">#REF!</definedName>
    <definedName name="bonificação">#REF!</definedName>
    <definedName name="BR" localSheetId="4">#REF!</definedName>
    <definedName name="BR" localSheetId="2">#REF!</definedName>
    <definedName name="BR">#REF!</definedName>
    <definedName name="btt">#N/A</definedName>
    <definedName name="btt_14">#REF!</definedName>
    <definedName name="btt_3">#REF!</definedName>
    <definedName name="btt_5">#REF!</definedName>
    <definedName name="BUEIRO">#REF!</definedName>
    <definedName name="BUEIROMA">#REF!</definedName>
    <definedName name="BUEIROTA">#REF!</definedName>
    <definedName name="button_area_1">#N/A</definedName>
    <definedName name="button_area_1_14">#REF!</definedName>
    <definedName name="button_area_1_3">#REF!</definedName>
    <definedName name="button_area_1_5">#REF!</definedName>
    <definedName name="button_area_1_6">#REF!</definedName>
    <definedName name="button_area_1_7">#REF!</definedName>
    <definedName name="button_area_1_8">#REF!</definedName>
    <definedName name="bx">#REF!</definedName>
    <definedName name="CA">#REF!</definedName>
    <definedName name="CAAA">#REF!</definedName>
    <definedName name="CABE">#REF!</definedName>
    <definedName name="CADA">#REF!</definedName>
    <definedName name="CAL">#REF!</definedName>
    <definedName name="CALI">#REF!</definedName>
    <definedName name="CALIFÓRNIA" hidden="1">#REF!</definedName>
    <definedName name="cam">#REF!</definedName>
    <definedName name="CAN" localSheetId="4">#REF!</definedName>
    <definedName name="CAN">#REF!</definedName>
    <definedName name="CAN_3">#N/A</definedName>
    <definedName name="CAN_5">#N/A</definedName>
    <definedName name="CAN_8">#N/A</definedName>
    <definedName name="CANCELAR">#REF!</definedName>
    <definedName name="CAP">#REF!</definedName>
    <definedName name="CAPA" localSheetId="4" hidden="1">{#N/A,#N/A,TRUE,"Serviços"}</definedName>
    <definedName name="CAPA" localSheetId="2" hidden="1">{#N/A,#N/A,TRUE,"Serviços"}</definedName>
    <definedName name="CAPA" hidden="1">{#N/A,#N/A,TRUE,"Serviços"}</definedName>
    <definedName name="capa1" localSheetId="4" hidden="1">{#N/A,#N/A,TRUE,"Serviços"}</definedName>
    <definedName name="capa1" localSheetId="2" hidden="1">{#N/A,#N/A,TRUE,"Serviços"}</definedName>
    <definedName name="capa1" hidden="1">{#N/A,#N/A,TRUE,"Serviços"}</definedName>
    <definedName name="capa2" localSheetId="4" hidden="1">{#N/A,#N/A,TRUE,"Serviços"}</definedName>
    <definedName name="capa2" localSheetId="2" hidden="1">{#N/A,#N/A,TRUE,"Serviços"}</definedName>
    <definedName name="capa2" hidden="1">{#N/A,#N/A,TRUE,"Serviços"}</definedName>
    <definedName name="CAPAMA">#REF!</definedName>
    <definedName name="CAPATA">#REF!</definedName>
    <definedName name="CAPFRESA">#REF!</definedName>
    <definedName name="CAPFRESAMA">#REF!</definedName>
    <definedName name="CAPFRESATA">#REF!</definedName>
    <definedName name="CAPRS">#REF!</definedName>
    <definedName name="CAPRSMA">#REF!</definedName>
    <definedName name="CAPRSTA">#REF!</definedName>
    <definedName name="CAT">#REF!</definedName>
    <definedName name="cb">#REF!</definedName>
    <definedName name="cbr">#N/A</definedName>
    <definedName name="CBU" localSheetId="4">#REF!</definedName>
    <definedName name="CBU" localSheetId="2">#REF!</definedName>
    <definedName name="CBU">#REF!</definedName>
    <definedName name="cbuc">#N/A</definedName>
    <definedName name="CBUII" localSheetId="4">#REF!</definedName>
    <definedName name="CBUII" localSheetId="2">#REF!</definedName>
    <definedName name="CBUII">#REF!</definedName>
    <definedName name="CBUQB" localSheetId="4">#REF!</definedName>
    <definedName name="CBUQB" localSheetId="2">#REF!</definedName>
    <definedName name="CBUQB">#REF!</definedName>
    <definedName name="CBUQc" localSheetId="4">#REF!</definedName>
    <definedName name="CBUQc" localSheetId="2">#REF!</definedName>
    <definedName name="CBUQc">#REF!</definedName>
    <definedName name="CC">#REF!</definedName>
    <definedName name="cccbbbrrr" hidden="1">#REF!</definedName>
    <definedName name="celltips_area">#N/A</definedName>
    <definedName name="celltips_area_14">#REF!</definedName>
    <definedName name="celltips_area_3">#REF!</definedName>
    <definedName name="celltips_area_5">#REF!</definedName>
    <definedName name="celltips_area_6">#REF!</definedName>
    <definedName name="celltips_area_7">#REF!</definedName>
    <definedName name="celltips_area_8">#REF!</definedName>
    <definedName name="CFD">#REF!</definedName>
    <definedName name="CFDMA">#REF!</definedName>
    <definedName name="CFDTA">#REF!</definedName>
    <definedName name="cinco">#N/A</definedName>
    <definedName name="cinco_14">#REF!</definedName>
    <definedName name="cinco_3">#REF!</definedName>
    <definedName name="cinco_5">#REF!</definedName>
    <definedName name="cinco_6">#REF!</definedName>
    <definedName name="cinco_7">#REF!</definedName>
    <definedName name="cinco_8">#REF!</definedName>
    <definedName name="class">#N/A</definedName>
    <definedName name="CODIGO" localSheetId="4">#REF!</definedName>
    <definedName name="CODIGO" localSheetId="2">#REF!</definedName>
    <definedName name="CODIGO">#REF!</definedName>
    <definedName name="CODIGÓ">#N/A</definedName>
    <definedName name="Código" localSheetId="4">#REF!</definedName>
    <definedName name="Código" localSheetId="2">#REF!</definedName>
    <definedName name="Código">#REF!</definedName>
    <definedName name="COMP">#REF!</definedName>
    <definedName name="Comparativo3" localSheetId="4">'Controle Pluv.'!Comparativo3</definedName>
    <definedName name="Comparativo3" localSheetId="2">Equipamentos!Comparativo3</definedName>
    <definedName name="Comparativo3">#REF!</definedName>
    <definedName name="comple">#REF!</definedName>
    <definedName name="comple_14">#N/A</definedName>
    <definedName name="comple_3">#N/A</definedName>
    <definedName name="comple_5">#N/A</definedName>
    <definedName name="comple_6">#N/A</definedName>
    <definedName name="comple_7">#N/A</definedName>
    <definedName name="comple_8">#N/A</definedName>
    <definedName name="COMPOSICAO">#REF!</definedName>
    <definedName name="composição3" hidden="1">#REF!</definedName>
    <definedName name="COR">#REF!</definedName>
    <definedName name="correção">#N/A</definedName>
    <definedName name="CP">#REF!</definedName>
    <definedName name="CPN">#REF!</definedName>
    <definedName name="Criteria" localSheetId="4">#REF!</definedName>
    <definedName name="Criteria" localSheetId="2">#REF!</definedName>
    <definedName name="Criteria">#REF!</definedName>
    <definedName name="_xlnm.Criteria" localSheetId="4">#REF!</definedName>
    <definedName name="_xlnm.Criteria" localSheetId="2">#REF!</definedName>
    <definedName name="_xlnm.Criteria">#REF!</definedName>
    <definedName name="cscscs" localSheetId="4">#REF!</definedName>
    <definedName name="cscscs" localSheetId="2">#REF!</definedName>
    <definedName name="cscscs">#REF!</definedName>
    <definedName name="cscscsc" localSheetId="4">#REF!</definedName>
    <definedName name="cscscsc" localSheetId="2">#REF!</definedName>
    <definedName name="cscscsc">#REF!</definedName>
    <definedName name="CV">#REF!</definedName>
    <definedName name="cx">#REF!</definedName>
    <definedName name="d" localSheetId="4">#REF!</definedName>
    <definedName name="d" localSheetId="2">#REF!</definedName>
    <definedName name="d">#REF!</definedName>
    <definedName name="Dados_Primário">#REF!</definedName>
    <definedName name="DAER1" localSheetId="4" hidden="1">{#N/A,#N/A,TRUE,"Serviços"}</definedName>
    <definedName name="DAER1" localSheetId="2" hidden="1">{#N/A,#N/A,TRUE,"Serviços"}</definedName>
    <definedName name="DAER1" hidden="1">{#N/A,#N/A,TRUE,"Serviços"}</definedName>
    <definedName name="DATA">#REF!</definedName>
    <definedName name="Data_Final" localSheetId="4">#REF!</definedName>
    <definedName name="Data_Final" localSheetId="2">#REF!</definedName>
    <definedName name="Data_Final">#REF!</definedName>
    <definedName name="Data_Início" localSheetId="4">#REF!</definedName>
    <definedName name="Data_Início" localSheetId="2">#REF!</definedName>
    <definedName name="Data_Início">#REF!</definedName>
    <definedName name="data1">#REF!</definedName>
    <definedName name="DATA2">#REF!</definedName>
    <definedName name="DATA5">#REF!</definedName>
    <definedName name="Database" localSheetId="4">#REF!</definedName>
    <definedName name="Database" localSheetId="2">#REF!</definedName>
    <definedName name="Database">#REF!</definedName>
    <definedName name="DATAE">#REF!</definedName>
    <definedName name="dcddsc" localSheetId="4">#REF!</definedName>
    <definedName name="dcddsc">#REF!</definedName>
    <definedName name="DCSA1">#REF!</definedName>
    <definedName name="dd" localSheetId="4">'Controle Pluv.'!dd</definedName>
    <definedName name="dd" localSheetId="2">Equipamentos!dd</definedName>
    <definedName name="dd">#REF!</definedName>
    <definedName name="ddd" localSheetId="4">'Controle Pluv.'!ddd</definedName>
    <definedName name="ddd" localSheetId="2">Equipamentos!ddd</definedName>
    <definedName name="ddd">#REF!</definedName>
    <definedName name="DDDD" localSheetId="4">'Controle Pluv.'!DDDD</definedName>
    <definedName name="DDDD" localSheetId="2">Equipamentos!DDDD</definedName>
    <definedName name="DDDD">#REF!</definedName>
    <definedName name="ddddddd" localSheetId="4">'Controle Pluv.'!ddddddd</definedName>
    <definedName name="ddddddd" localSheetId="2">Equipamentos!ddddddd</definedName>
    <definedName name="ddddddd">#REF!</definedName>
    <definedName name="ddwq" localSheetId="4">#REF!</definedName>
    <definedName name="ddwq">#REF!</definedName>
    <definedName name="def" localSheetId="4">#REF!</definedName>
    <definedName name="def">#REF!</definedName>
    <definedName name="defensa" localSheetId="4">'Controle Pluv.'!defensa</definedName>
    <definedName name="defensa" localSheetId="2">Equipamentos!defensa</definedName>
    <definedName name="defensa">#REF!</definedName>
    <definedName name="DELTA10">#REF!</definedName>
    <definedName name="DELTA11">#REF!</definedName>
    <definedName name="DELTA12">#REF!</definedName>
    <definedName name="DELTA2">#REF!</definedName>
    <definedName name="DELTA20">#REF!</definedName>
    <definedName name="DELTA27">#REF!</definedName>
    <definedName name="DELTA3">#REF!</definedName>
    <definedName name="DELTA32">#REF!</definedName>
    <definedName name="DELTA4">#REF!</definedName>
    <definedName name="DELTA45">#REF!</definedName>
    <definedName name="DELTA6">#REF!</definedName>
    <definedName name="DELTA7">#REF!</definedName>
    <definedName name="DELTA8">#REF!</definedName>
    <definedName name="DELTA9">#REF!</definedName>
    <definedName name="DELTACONSTRUCOES">#REF!</definedName>
    <definedName name="DENS">#REF!</definedName>
    <definedName name="Densidades" localSheetId="4">#REF!</definedName>
    <definedName name="Densidades" localSheetId="2">#REF!</definedName>
    <definedName name="Densidades">#REF!</definedName>
    <definedName name="dez">#N/A</definedName>
    <definedName name="dez_14">#REF!</definedName>
    <definedName name="dez_3">#REF!</definedName>
    <definedName name="dez_5">#REF!</definedName>
    <definedName name="dez_6">#REF!</definedName>
    <definedName name="dez_7">#REF!</definedName>
    <definedName name="dez_8">#REF!</definedName>
    <definedName name="DEZESEIS" hidden="1">#REF!</definedName>
    <definedName name="dfase">#REF!</definedName>
    <definedName name="DFGG">#REF!</definedName>
    <definedName name="dfvf" localSheetId="4">#REF!</definedName>
    <definedName name="dfvf" localSheetId="2">#REF!</definedName>
    <definedName name="dfvf">#REF!</definedName>
    <definedName name="DGA" localSheetId="4">#REF!</definedName>
    <definedName name="DGA">#REF!</definedName>
    <definedName name="diam">#REF!</definedName>
    <definedName name="diametro">#REF!</definedName>
    <definedName name="DJ" localSheetId="4">#REF!</definedName>
    <definedName name="DJ" localSheetId="2">#REF!</definedName>
    <definedName name="DJ">#REF!</definedName>
    <definedName name="DMT">#REF!,#REF!</definedName>
    <definedName name="dois" localSheetId="4">'Controle Pluv.'!dois</definedName>
    <definedName name="dois" localSheetId="2">Equipamentos!dois</definedName>
    <definedName name="dois">#REF!</definedName>
    <definedName name="dois_14">#REF!</definedName>
    <definedName name="dois_3">#REF!</definedName>
    <definedName name="dois_5">#REF!</definedName>
    <definedName name="dois_6">#REF!</definedName>
    <definedName name="dois_7">#REF!</definedName>
    <definedName name="dois_8">#REF!</definedName>
    <definedName name="doze">#N/A</definedName>
    <definedName name="doze_14">#REF!</definedName>
    <definedName name="doze_3">#REF!</definedName>
    <definedName name="doze_5">#REF!</definedName>
    <definedName name="doze_6">#REF!</definedName>
    <definedName name="doze_7">#REF!</definedName>
    <definedName name="doze_8">#REF!</definedName>
    <definedName name="drar">#N/A</definedName>
    <definedName name="drfi">#N/A</definedName>
    <definedName name="drpe">#N/A</definedName>
    <definedName name="ds" localSheetId="4">#REF!</definedName>
    <definedName name="ds" localSheetId="2">#REF!</definedName>
    <definedName name="ds">#REF!</definedName>
    <definedName name="dsvdsfvds" localSheetId="4">#REF!</definedName>
    <definedName name="dsvdsfvds" localSheetId="2">#REF!</definedName>
    <definedName name="dsvdsfvds">#REF!</definedName>
    <definedName name="DT_med">#REF!</definedName>
    <definedName name="DT_med_in">#REF!</definedName>
    <definedName name="dwqdqw" localSheetId="4">#REF!</definedName>
    <definedName name="dwqdqw">#REF!</definedName>
    <definedName name="e" localSheetId="4">#REF!</definedName>
    <definedName name="e">#REF!</definedName>
    <definedName name="ECJ" localSheetId="4">#REF!</definedName>
    <definedName name="ECJ" localSheetId="2">#REF!</definedName>
    <definedName name="ECJ">#REF!</definedName>
    <definedName name="edw" localSheetId="4">#REF!</definedName>
    <definedName name="edw">#REF!</definedName>
    <definedName name="ef" localSheetId="4">#REF!</definedName>
    <definedName name="ef" localSheetId="2">#REF!</definedName>
    <definedName name="ef">#REF!</definedName>
    <definedName name="Efaixa" localSheetId="4">#REF!</definedName>
    <definedName name="Efaixa">#REF!</definedName>
    <definedName name="efefe" localSheetId="4">#REF!</definedName>
    <definedName name="efefe" localSheetId="2">#REF!</definedName>
    <definedName name="efefe">#REF!</definedName>
    <definedName name="eferfe" localSheetId="4">#REF!</definedName>
    <definedName name="eferfe" localSheetId="2">#REF!</definedName>
    <definedName name="eferfe">#REF!</definedName>
    <definedName name="efwerfewrg" localSheetId="4">#REF!</definedName>
    <definedName name="efwerfewrg" localSheetId="2">#REF!</definedName>
    <definedName name="efwerfewrg">#REF!</definedName>
    <definedName name="EJ" localSheetId="4">#REF!</definedName>
    <definedName name="EJ" localSheetId="2">#REF!</definedName>
    <definedName name="EJ">#REF!</definedName>
    <definedName name="EMPENHO">#REF!</definedName>
    <definedName name="EMUL_ASF">#REF!</definedName>
    <definedName name="EMUL_ASF_MA">#REF!</definedName>
    <definedName name="EMUL_ASF_TA">#REF!</definedName>
    <definedName name="EN">#REF!</definedName>
    <definedName name="eng">#N/A</definedName>
    <definedName name="eqd" localSheetId="4">#REF!</definedName>
    <definedName name="eqd">#REF!</definedName>
    <definedName name="Equip" hidden="1">{#N/A,#N/A,TRUE,"Serviços"}</definedName>
    <definedName name="ERT" localSheetId="4">#REF!</definedName>
    <definedName name="ERT" localSheetId="2">#REF!</definedName>
    <definedName name="ERT">#REF!</definedName>
    <definedName name="espfim">#REF!</definedName>
    <definedName name="espini">#REF!</definedName>
    <definedName name="EST" localSheetId="4">#REF!</definedName>
    <definedName name="EST" localSheetId="2">#REF!</definedName>
    <definedName name="EST">#REF!</definedName>
    <definedName name="Estabilidade" localSheetId="4">#REF!</definedName>
    <definedName name="Estabilidade" localSheetId="2">#REF!</definedName>
    <definedName name="Estabilidade">#REF!</definedName>
    <definedName name="Estabilidade_14">#REF!</definedName>
    <definedName name="Estabilidade_3">#REF!</definedName>
    <definedName name="Estabilidade_6">#REF!</definedName>
    <definedName name="Estabilidade_7">#REF!</definedName>
    <definedName name="Estabilidade_8">#REF!</definedName>
    <definedName name="estudosss" hidden="1">#REF!</definedName>
    <definedName name="ew">#REF!</definedName>
    <definedName name="ewfewf" localSheetId="4">#REF!</definedName>
    <definedName name="ewfewf">#REF!</definedName>
    <definedName name="ewfwewfw" localSheetId="4">#REF!</definedName>
    <definedName name="ewfwewfw">#REF!</definedName>
    <definedName name="EXA" localSheetId="4">#REF!</definedName>
    <definedName name="EXA">#REF!</definedName>
    <definedName name="Excel_BuiltIn_Print_Area_1_1">#N/A</definedName>
    <definedName name="Excel_BuiltIn_Print_Area_2_1">#N/A</definedName>
    <definedName name="Excel_BuiltIn_Print_Area_3_1">#N/A</definedName>
    <definedName name="Excel_BuiltIn_Print_Area_3_1_14">#REF!</definedName>
    <definedName name="Excel_BuiltIn_Print_Area_3_1_3">#REF!</definedName>
    <definedName name="Excel_BuiltIn_Print_Area_3_1_5">#REF!</definedName>
    <definedName name="Excel_BuiltIn_Print_Area_3_1_8">#REF!</definedName>
    <definedName name="Excel_BuiltIn_Print_Area_4_1">#N/A</definedName>
    <definedName name="Excel_BuiltIn_Print_Area_5_1">#N/A</definedName>
    <definedName name="Excel_BuiltIn_Print_Area_6_1">#N/A</definedName>
    <definedName name="Excel_BuiltIn_Print_Area_7_1">#N/A</definedName>
    <definedName name="Excel_BuiltIn_Print_Area_8">#REF!</definedName>
    <definedName name="Excel_BuiltIn_Print_Area_8_1">#N/A</definedName>
    <definedName name="Excel_BuiltIn_Print_Area_9_1">#N/A</definedName>
    <definedName name="Excel_BuiltIn_Print_Titles_1_1">#N/A</definedName>
    <definedName name="Excel_BuiltIn_Print_Titles_2_1">#N/A</definedName>
    <definedName name="Excel_BuiltIn_Print_Titles_3_1">#N/A</definedName>
    <definedName name="Excel_BuiltIn_Print_Titles_4_1">#N/A</definedName>
    <definedName name="Excel_BuiltIn_Print_Titles_5_1">#N/A</definedName>
    <definedName name="Excel_BuiltIn_Print_Titles_6_1">#N/A</definedName>
    <definedName name="Excel_BuiltIn_Print_Titles_7_1">#N/A</definedName>
    <definedName name="Excel_BuiltIn_Print_Titles_8_1">#N/A</definedName>
    <definedName name="Excel_BuiltIn_Print_Titles_9_1">#N/A</definedName>
    <definedName name="Excel_BuiltIn_Recorder">#N/A</definedName>
    <definedName name="Excel_BuiltIn_Recorder_14">#N/A</definedName>
    <definedName name="Excel_BuiltIn_Recorder_3">#N/A</definedName>
    <definedName name="Excel_BuiltIn_Recorder_5">#N/A</definedName>
    <definedName name="Excel_BuiltIn_Recorder_6">#N/A</definedName>
    <definedName name="Excel_BuiltIn_Recorder_7">#N/A</definedName>
    <definedName name="Excel_BuiltIn_Recorder_8">#N/A</definedName>
    <definedName name="Ext" localSheetId="4">#REF!</definedName>
    <definedName name="Ext" localSheetId="2">#REF!</definedName>
    <definedName name="Ext">#REF!</definedName>
    <definedName name="Extens" localSheetId="4">#REF!</definedName>
    <definedName name="Extens">#REF!</definedName>
    <definedName name="Extensao" localSheetId="4">#REF!</definedName>
    <definedName name="Extensao">#REF!</definedName>
    <definedName name="Extenso" localSheetId="4">'Controle Pluv.'!Extenso</definedName>
    <definedName name="Extenso" localSheetId="2">Equipamentos!Extenso</definedName>
    <definedName name="Extenso">#REF!</definedName>
    <definedName name="ExtFaixa" localSheetId="4">#REF!</definedName>
    <definedName name="ExtFaixa" localSheetId="2">#REF!</definedName>
    <definedName name="ExtFaixa">#REF!</definedName>
    <definedName name="ExtFaixa2" localSheetId="4">#REF!</definedName>
    <definedName name="ExtFaixa2">#REF!</definedName>
    <definedName name="Faixa" localSheetId="4">#REF!</definedName>
    <definedName name="Faixa">#REF!</definedName>
    <definedName name="FAIXAC">#REF!</definedName>
    <definedName name="FATURAS2002" localSheetId="4" hidden="1">{#N/A,#N/A,TRUE,"Serviços"}</definedName>
    <definedName name="FATURAS2002" localSheetId="2" hidden="1">{#N/A,#N/A,TRUE,"Serviços"}</definedName>
    <definedName name="FATURAS2002" hidden="1">{#N/A,#N/A,TRUE,"Serviços"}</definedName>
    <definedName name="fc1a" localSheetId="4">#REF!</definedName>
    <definedName name="fc1a">#REF!</definedName>
    <definedName name="FC2A" localSheetId="4">#REF!</definedName>
    <definedName name="FC2A">#REF!</definedName>
    <definedName name="FC3A" localSheetId="4">#REF!</definedName>
    <definedName name="FC3A">#REF!</definedName>
    <definedName name="fdsfs" localSheetId="4">#REF!</definedName>
    <definedName name="fdsfs">#REF!</definedName>
    <definedName name="FEF" localSheetId="4">#REF!</definedName>
    <definedName name="FEF">#REF!</definedName>
    <definedName name="fevfe" localSheetId="4">#REF!</definedName>
    <definedName name="fevfe">#REF!</definedName>
    <definedName name="fi">#REF!</definedName>
    <definedName name="fill">#N/A</definedName>
    <definedName name="FIRMA">#REF!</definedName>
    <definedName name="FLU" localSheetId="4">#REF!</definedName>
    <definedName name="FLU" localSheetId="2">#REF!</definedName>
    <definedName name="FLU">#REF!</definedName>
    <definedName name="Fluência" localSheetId="4">#REF!</definedName>
    <definedName name="Fluência" localSheetId="2">#REF!</definedName>
    <definedName name="Fluência">#REF!</definedName>
    <definedName name="Fluência_14">#REF!</definedName>
    <definedName name="Fluência_3">#REF!</definedName>
    <definedName name="Fluência_6">#REF!</definedName>
    <definedName name="Fluência_7">#REF!</definedName>
    <definedName name="Fluência_8">#REF!</definedName>
    <definedName name="FOLHA01" localSheetId="4" hidden="1">{#N/A,#N/A,TRUE,"Serviços"}</definedName>
    <definedName name="FOLHA01" localSheetId="2" hidden="1">{#N/A,#N/A,TRUE,"Serviços"}</definedName>
    <definedName name="FOLHA01" hidden="1">{#N/A,#N/A,TRUE,"Serviços"}</definedName>
    <definedName name="folha1" localSheetId="4" hidden="1">{#N/A,#N/A,TRUE,"Serviços"}</definedName>
    <definedName name="folha1" localSheetId="2" hidden="1">{#N/A,#N/A,TRUE,"Serviços"}</definedName>
    <definedName name="folha1" hidden="1">{#N/A,#N/A,TRUE,"Serviços"}</definedName>
    <definedName name="FÓRMULA">#REF!</definedName>
    <definedName name="formulas">#REF!,#REF!,#REF!,#REF!,#REF!,#REF!,#REF!,#REF!,#REF!,#REF!,#REF!,#REF!,#REF!,#REF!,#REF!,#REF!,#REF!,#REF!,#REF!,#REF!</definedName>
    <definedName name="fr" localSheetId="4">'Controle Pluv.'!fr</definedName>
    <definedName name="fr" localSheetId="2">Equipamentos!fr</definedName>
    <definedName name="fr">#REF!</definedName>
    <definedName name="fre" localSheetId="4">'Controle Pluv.'!fre</definedName>
    <definedName name="fre" localSheetId="2">Equipamentos!fre</definedName>
    <definedName name="fre">#REF!</definedName>
    <definedName name="FRESA">#REF!</definedName>
    <definedName name="Fresagem01" localSheetId="4" hidden="1">{#N/A,#N/A,TRUE,"Serviços"}</definedName>
    <definedName name="Fresagem01" localSheetId="2" hidden="1">{#N/A,#N/A,TRUE,"Serviços"}</definedName>
    <definedName name="Fresagem01" hidden="1">{#N/A,#N/A,TRUE,"Serviços"}</definedName>
    <definedName name="FRESAMA">#REF!</definedName>
    <definedName name="FRESATA">#REF!</definedName>
    <definedName name="fvaerg" localSheetId="4">#REF!</definedName>
    <definedName name="fvaerg">#REF!</definedName>
    <definedName name="fvb" localSheetId="4">#REF!</definedName>
    <definedName name="fvb">#REF!</definedName>
    <definedName name="FWE" localSheetId="4">#REF!</definedName>
    <definedName name="FWE">#REF!</definedName>
    <definedName name="gac">#N/A</definedName>
    <definedName name="gag">#N/A</definedName>
    <definedName name="GAUS">#REF!</definedName>
    <definedName name="gggf" localSheetId="4">#REF!</definedName>
    <definedName name="gggf" localSheetId="2">#REF!</definedName>
    <definedName name="gggf">#REF!</definedName>
    <definedName name="Graphfchart" hidden="1">#REF!</definedName>
    <definedName name="_xlnm.Recorder">#REF!</definedName>
    <definedName name="gtryfj" localSheetId="4" hidden="1">{#N/A,#N/A,TRUE,"Serviços"}</definedName>
    <definedName name="gtryfj" localSheetId="2" hidden="1">{#N/A,#N/A,TRUE,"Serviços"}</definedName>
    <definedName name="gtryfj" hidden="1">{#N/A,#N/A,TRUE,"Serviços"}</definedName>
    <definedName name="h" localSheetId="4">#REF!</definedName>
    <definedName name="h">#REF!</definedName>
    <definedName name="hbh">#REF!</definedName>
    <definedName name="hi" localSheetId="4">#REF!</definedName>
    <definedName name="hi" localSheetId="2">#REF!</definedName>
    <definedName name="hi">#REF!</definedName>
    <definedName name="higro">#N/A</definedName>
    <definedName name="hrf" localSheetId="4">'Controle Pluv.'!hrf</definedName>
    <definedName name="hrf" localSheetId="2">Equipamentos!hrf</definedName>
    <definedName name="hrf">#REF!</definedName>
    <definedName name="hyhy" localSheetId="4" hidden="1">{#N/A,#N/A,TRUE,"Serviços"}</definedName>
    <definedName name="hyhy" localSheetId="2" hidden="1">{#N/A,#N/A,TRUE,"Serviços"}</definedName>
    <definedName name="hyhy" hidden="1">{#N/A,#N/A,TRUE,"Serviços"}</definedName>
    <definedName name="hyhyy" localSheetId="4">#REF!</definedName>
    <definedName name="hyhyy" localSheetId="2">#REF!</definedName>
    <definedName name="hyhyy">#REF!</definedName>
    <definedName name="IG">#N/A</definedName>
    <definedName name="IM" localSheetId="4">#REF!</definedName>
    <definedName name="IM" localSheetId="2">#REF!</definedName>
    <definedName name="IM">#REF!</definedName>
    <definedName name="IMP">#REF!</definedName>
    <definedName name="IMPMA">#REF!</definedName>
    <definedName name="IMPTA">#REF!</definedName>
    <definedName name="INICIO">#N/A</definedName>
    <definedName name="INS_TVE_CBUQ">#REF!</definedName>
    <definedName name="INS_TVE_LAMA">#REF!</definedName>
    <definedName name="INS_TVE_MICRO">#REF!</definedName>
    <definedName name="INS_TVMP_CBUQ">#REF!</definedName>
    <definedName name="INS_TVMP_LAMA">#REF!</definedName>
    <definedName name="INS_TVMP_MICRO">#REF!</definedName>
    <definedName name="INS_TVMR_CBUQ">#REF!</definedName>
    <definedName name="INS_TVMR_LAMA">#REF!</definedName>
    <definedName name="INS_TVMR_MICRO">#REF!</definedName>
    <definedName name="INS_TVP_CBUQ">#REF!</definedName>
    <definedName name="INS_TVP_LAMA">#REF!</definedName>
    <definedName name="INS_TVP_MICRO">#REF!</definedName>
    <definedName name="INS_TVR_CBUQ">#REF!</definedName>
    <definedName name="INS_TVR_LAMA">#REF!</definedName>
    <definedName name="INS_TVR_MICRO">#REF!</definedName>
    <definedName name="INSTAL">#REF!</definedName>
    <definedName name="INSTALMA">#REF!</definedName>
    <definedName name="INSTALTA">#REF!</definedName>
    <definedName name="IP" localSheetId="4">#REF!</definedName>
    <definedName name="IP">#REF!</definedName>
    <definedName name="IPn">#N/A</definedName>
    <definedName name="JANEIRO2003" localSheetId="4" hidden="1">{#N/A,#N/A,TRUE,"Serviços"}</definedName>
    <definedName name="JANEIRO2003" localSheetId="2" hidden="1">{#N/A,#N/A,TRUE,"Serviços"}</definedName>
    <definedName name="JANEIRO2003" hidden="1">{#N/A,#N/A,TRUE,"Serviços"}</definedName>
    <definedName name="JESUS">#REF!</definedName>
    <definedName name="jh" localSheetId="4">#REF!</definedName>
    <definedName name="jh">#REF!</definedName>
    <definedName name="jhgggg555">#REF!</definedName>
    <definedName name="jhon" hidden="1">#REF!</definedName>
    <definedName name="João" localSheetId="4">#REF!</definedName>
    <definedName name="João" localSheetId="2">#REF!</definedName>
    <definedName name="João">#REF!</definedName>
    <definedName name="João22" localSheetId="4">#REF!</definedName>
    <definedName name="João22" localSheetId="2">#REF!</definedName>
    <definedName name="João22">#REF!</definedName>
    <definedName name="kjhaskjhfajhsfkasjfas">#REF!</definedName>
    <definedName name="KKK" hidden="1">#REF!</definedName>
    <definedName name="kkkkk999" hidden="1">#REF!</definedName>
    <definedName name="kp" localSheetId="4">#REF!</definedName>
    <definedName name="kp">#REF!</definedName>
    <definedName name="lab" localSheetId="4" hidden="1">{#N/A,#N/A,TRUE,"Serviços"}</definedName>
    <definedName name="lab" localSheetId="2" hidden="1">{#N/A,#N/A,TRUE,"Serviços"}</definedName>
    <definedName name="lab" hidden="1">{#N/A,#N/A,TRUE,"Serviços"}</definedName>
    <definedName name="LAMA">#REF!</definedName>
    <definedName name="LAMAMA">#REF!</definedName>
    <definedName name="LAMATA">#REF!</definedName>
    <definedName name="lias" localSheetId="4">'Controle Pluv.'!lias</definedName>
    <definedName name="lias" localSheetId="2">Equipamentos!lias</definedName>
    <definedName name="lias">#REF!</definedName>
    <definedName name="LILASDRENA" localSheetId="4">#REF!</definedName>
    <definedName name="LILASDRENA" localSheetId="2">#REF!</definedName>
    <definedName name="LILASDRENA">#REF!</definedName>
    <definedName name="limcount">2</definedName>
    <definedName name="LL" localSheetId="4">#REF!</definedName>
    <definedName name="LL">#REF!</definedName>
    <definedName name="LLn">#N/A</definedName>
    <definedName name="local">#REF!</definedName>
    <definedName name="LOGOTIPO">"Figura 3"</definedName>
    <definedName name="LOT">#REF!</definedName>
    <definedName name="m">#N/A</definedName>
    <definedName name="Macro1">#REF!</definedName>
    <definedName name="Macro2">#REF!</definedName>
    <definedName name="marshall">#N/A</definedName>
    <definedName name="marshall_14">#REF!</definedName>
    <definedName name="marshall_3">#REF!</definedName>
    <definedName name="marshall_5">#REF!</definedName>
    <definedName name="marshall_6">#REF!</definedName>
    <definedName name="marshall_7">#REF!</definedName>
    <definedName name="marshall_8">#REF!</definedName>
    <definedName name="Massa" localSheetId="4">#REF!</definedName>
    <definedName name="Massa" localSheetId="2">#REF!</definedName>
    <definedName name="Massa">#REF!</definedName>
    <definedName name="Massa_14">#REF!</definedName>
    <definedName name="Massa_3">#REF!</definedName>
    <definedName name="Massa_6">#REF!</definedName>
    <definedName name="Massa_7">#REF!</definedName>
    <definedName name="Massa_8">#REF!</definedName>
    <definedName name="mat">#REF!</definedName>
    <definedName name="MAX">#REF!</definedName>
    <definedName name="MED_mmes">#REF!</definedName>
    <definedName name="Medição" localSheetId="4">#REF!</definedName>
    <definedName name="Medição" localSheetId="2">#REF!</definedName>
    <definedName name="Medição">#REF!</definedName>
    <definedName name="MEDPER1">#REF!</definedName>
    <definedName name="MICRO">#REF!</definedName>
    <definedName name="MICROMA">#REF!</definedName>
    <definedName name="MICROTA">#REF!</definedName>
    <definedName name="MOBIL">#REF!</definedName>
    <definedName name="MOBILMA">#REF!</definedName>
    <definedName name="MOBILTA">#REF!</definedName>
    <definedName name="módulo1.Extenso" localSheetId="4">'Controle Pluv.'!módulo1.Extenso</definedName>
    <definedName name="módulo1.Extenso" localSheetId="2">Equipamentos!módulo1.Extenso</definedName>
    <definedName name="módulo1.Extenso">#REF!</definedName>
    <definedName name="montagem">#REF!</definedName>
    <definedName name="MPA">#REF!</definedName>
    <definedName name="MPAMA">#REF!</definedName>
    <definedName name="MPATA">#REF!</definedName>
    <definedName name="n" localSheetId="4">'Controle Pluv.'!n</definedName>
    <definedName name="n" localSheetId="2">Equipamentos!n</definedName>
    <definedName name="n">#REF!</definedName>
    <definedName name="N_Cont">#REF!</definedName>
    <definedName name="N_med">#REF!</definedName>
    <definedName name="NÃO">#REF!</definedName>
    <definedName name="njbj" localSheetId="4">#REF!</definedName>
    <definedName name="njbj" localSheetId="2">#REF!</definedName>
    <definedName name="njbj">#REF!</definedName>
    <definedName name="nn">#N/A</definedName>
    <definedName name="NOOB123456" hidden="1">#REF!</definedName>
    <definedName name="nove">#N/A</definedName>
    <definedName name="nove_14">#REF!</definedName>
    <definedName name="nove_3">#REF!</definedName>
    <definedName name="nove_5">#REF!</definedName>
    <definedName name="nove_6">#REF!</definedName>
    <definedName name="nove_7">#REF!</definedName>
    <definedName name="nove_8">#REF!</definedName>
    <definedName name="NOVO" localSheetId="4">#REF!</definedName>
    <definedName name="NOVO">#REF!</definedName>
    <definedName name="NTEI" localSheetId="4">#REF!</definedName>
    <definedName name="NTEI">#REF!</definedName>
    <definedName name="OBJ">#REF!</definedName>
    <definedName name="obra">#REF!</definedName>
    <definedName name="OBRA1">#REF!</definedName>
    <definedName name="OBRA20">#REF!</definedName>
    <definedName name="ÓGUFYKJ" localSheetId="4">#REF!</definedName>
    <definedName name="ÓGUFYKJ" localSheetId="2">#REF!</definedName>
    <definedName name="ÓGUFYKJ">#REF!</definedName>
    <definedName name="OI" hidden="1">#REF!</definedName>
    <definedName name="oito">#N/A</definedName>
    <definedName name="oito_14">#REF!</definedName>
    <definedName name="oito_3">#REF!</definedName>
    <definedName name="oito_5">#REF!</definedName>
    <definedName name="oito_6">#REF!</definedName>
    <definedName name="oito_7">#REF!</definedName>
    <definedName name="oito_8">#REF!</definedName>
    <definedName name="OJGHPÇ" localSheetId="4">#REF!</definedName>
    <definedName name="OJGHPÇ" localSheetId="2">#REF!</definedName>
    <definedName name="OJGHPÇ">#REF!</definedName>
    <definedName name="onze">#N/A</definedName>
    <definedName name="onze_14">#REF!</definedName>
    <definedName name="onze_3">#REF!</definedName>
    <definedName name="onze_5">#REF!</definedName>
    <definedName name="onze_6">#REF!</definedName>
    <definedName name="onze_7">#REF!</definedName>
    <definedName name="onze_8">#REF!</definedName>
    <definedName name="oo">#REF!</definedName>
    <definedName name="OPA" localSheetId="4">#REF!</definedName>
    <definedName name="OPA">#REF!</definedName>
    <definedName name="opção">#REF!</definedName>
    <definedName name="orçamrest" localSheetId="4" hidden="1">{#N/A,#N/A,TRUE,"Serviços"}</definedName>
    <definedName name="orçamrest" localSheetId="2" hidden="1">{#N/A,#N/A,TRUE,"Serviços"}</definedName>
    <definedName name="orçamrest" hidden="1">{#N/A,#N/A,TRUE,"Serviços"}</definedName>
    <definedName name="OUPBO" localSheetId="4">#REF!</definedName>
    <definedName name="OUPBO" localSheetId="2">#REF!</definedName>
    <definedName name="OUPBO">#REF!</definedName>
    <definedName name="outr">#N/A</definedName>
    <definedName name="P" localSheetId="4">#REF!</definedName>
    <definedName name="P">#REF!</definedName>
    <definedName name="PA">#REF!</definedName>
    <definedName name="palomas">#REF!</definedName>
    <definedName name="PAMA">#REF!</definedName>
    <definedName name="paraf">#N/A</definedName>
    <definedName name="parcial">#N/A</definedName>
    <definedName name="PARK">#N/A</definedName>
    <definedName name="pas200a">#N/A</definedName>
    <definedName name="pass">#N/A</definedName>
    <definedName name="pass200a">#N/A</definedName>
    <definedName name="pass40">#N/A</definedName>
    <definedName name="PassaExtenso" localSheetId="4">#REF!</definedName>
    <definedName name="PassaExtenso">#REF!</definedName>
    <definedName name="PASSANDO">#REF!</definedName>
    <definedName name="PATA">#REF!</definedName>
    <definedName name="pedr">#N/A</definedName>
    <definedName name="pen01a">#REF!</definedName>
    <definedName name="pen01R">#REF!</definedName>
    <definedName name="pen02a">#REF!</definedName>
    <definedName name="pen02R">#REF!</definedName>
    <definedName name="pen03a">#REF!</definedName>
    <definedName name="pen03R">#REF!</definedName>
    <definedName name="pen04a">#REF!</definedName>
    <definedName name="pen04R">#REF!</definedName>
    <definedName name="pen05a">#REF!</definedName>
    <definedName name="pen05R">#REF!</definedName>
    <definedName name="pen06a">#REF!</definedName>
    <definedName name="pen06R">#REF!</definedName>
    <definedName name="pen07a">#REF!</definedName>
    <definedName name="pen07R">#REF!</definedName>
    <definedName name="pen08a">#REF!</definedName>
    <definedName name="pen08R">#REF!</definedName>
    <definedName name="pen09a">#REF!</definedName>
    <definedName name="pen09R">#REF!</definedName>
    <definedName name="pen10a">#REF!</definedName>
    <definedName name="pen10R">#REF!</definedName>
    <definedName name="PENE">#REF!</definedName>
    <definedName name="perc">#N/A</definedName>
    <definedName name="PERIOD">#REF!</definedName>
    <definedName name="pesquisa" localSheetId="4">#REF!</definedName>
    <definedName name="pesquisa" localSheetId="2">#REF!</definedName>
    <definedName name="pesquisa">#REF!</definedName>
    <definedName name="pesquisa_14">#REF!</definedName>
    <definedName name="pesquisa_3">#REF!</definedName>
    <definedName name="pesquisa_6">#REF!</definedName>
    <definedName name="pesquisa_7">#REF!</definedName>
    <definedName name="pesquisa_8">#REF!</definedName>
    <definedName name="pesquisa1">#REF!</definedName>
    <definedName name="PIC">#REF!</definedName>
    <definedName name="PIN">#REF!</definedName>
    <definedName name="PINL">#REF!</definedName>
    <definedName name="PINLMA">#REF!</definedName>
    <definedName name="PINLTA">#REF!</definedName>
    <definedName name="PINMA">#REF!</definedName>
    <definedName name="PINTA">#REF!</definedName>
    <definedName name="pintura" localSheetId="4">'Controle Pluv.'!pintura</definedName>
    <definedName name="pintura" localSheetId="2">Equipamentos!pintura</definedName>
    <definedName name="pintura">#REF!</definedName>
    <definedName name="PL" localSheetId="4">#REF!</definedName>
    <definedName name="PL" localSheetId="2">#REF!</definedName>
    <definedName name="PL">#REF!</definedName>
    <definedName name="PL20TSDP">#REF!</definedName>
    <definedName name="PLACA">#REF!</definedName>
    <definedName name="PLACAMA">#REF!</definedName>
    <definedName name="placas" localSheetId="4">'Controle Pluv.'!placas</definedName>
    <definedName name="placas" localSheetId="2">Equipamentos!placas</definedName>
    <definedName name="placas">#REF!</definedName>
    <definedName name="PLACATA">#REF!</definedName>
    <definedName name="PLANILHA_DE_PREÇO4" localSheetId="4">#REF!</definedName>
    <definedName name="PLANILHA_DE_PREÇO4">#REF!</definedName>
    <definedName name="PLFRESA">#REF!</definedName>
    <definedName name="PLFRESAMA">#REF!</definedName>
    <definedName name="PLFRESATA">#REF!</definedName>
    <definedName name="PLPA">#REF!</definedName>
    <definedName name="PLPAMA">#REF!</definedName>
    <definedName name="PLPATA">#REF!</definedName>
    <definedName name="PLRS">#REF!</definedName>
    <definedName name="PLRSMA">#REF!</definedName>
    <definedName name="PLRSTA">#REF!</definedName>
    <definedName name="pojh" localSheetId="4">#REF!</definedName>
    <definedName name="pojh" localSheetId="2">#REF!</definedName>
    <definedName name="pojh">#REF!</definedName>
    <definedName name="pope">#N/A</definedName>
    <definedName name="PRE" localSheetId="4">#REF!</definedName>
    <definedName name="PRE">#REF!</definedName>
    <definedName name="PRE_3">#N/A</definedName>
    <definedName name="PRE_5">#N/A</definedName>
    <definedName name="PRE_8">#N/A</definedName>
    <definedName name="primeira" localSheetId="4">#REF!</definedName>
    <definedName name="primeira" localSheetId="2">#REF!</definedName>
    <definedName name="primeira">#REF!</definedName>
    <definedName name="Print" localSheetId="4">#REF!</definedName>
    <definedName name="Print">#REF!</definedName>
    <definedName name="Print_Area" localSheetId="3">'Ação Corretiva'!$A$1:$M$33</definedName>
    <definedName name="Print_Area" localSheetId="4">'Controle Pluv.'!$B$1:$O$73</definedName>
    <definedName name="Print_Area" localSheetId="2">Equipamentos!$A$1:$L$156</definedName>
    <definedName name="Print_Area" localSheetId="0">'Equipe Técnica Exec.'!#REF!</definedName>
    <definedName name="Print_Area">#REF!</definedName>
    <definedName name="Print_Area_MI" localSheetId="4">#REF!</definedName>
    <definedName name="Print_Area_MI" localSheetId="2">#REF!</definedName>
    <definedName name="Print_Area_MI">#REF!</definedName>
    <definedName name="Print_Titles" localSheetId="4">#REF!</definedName>
    <definedName name="Print_Titles" localSheetId="2">#REF!</definedName>
    <definedName name="Print_Titles">#REF!</definedName>
    <definedName name="PRINT_TITLES_MI" localSheetId="4">#REF!</definedName>
    <definedName name="PRINT_TITLES_MI" localSheetId="2">#REF!</definedName>
    <definedName name="PRINT_TITLES_MI">#REF!</definedName>
    <definedName name="PROD_1" localSheetId="4" hidden="1">{#N/A,#N/A,TRUE,"Serviços"}</definedName>
    <definedName name="PROD_1" localSheetId="2" hidden="1">{#N/A,#N/A,TRUE,"Serviços"}</definedName>
    <definedName name="PROD_1" hidden="1">{#N/A,#N/A,TRUE,"Serviços"}</definedName>
    <definedName name="PROD_TVE_CBUQ">#REF!</definedName>
    <definedName name="PROD_TVE_LAMA">#REF!</definedName>
    <definedName name="PROD_TVE_MICRO">#REF!</definedName>
    <definedName name="PROD_TVMP_CBUQ">#REF!</definedName>
    <definedName name="PROD_TVMP_LAMA">#REF!</definedName>
    <definedName name="PROD_TVMP_MICRO">#REF!</definedName>
    <definedName name="PROD_TVMR_CBUQ">#REF!</definedName>
    <definedName name="PROD_TVMR_LAMA">#REF!</definedName>
    <definedName name="PROD_TVMR_MICRO">#REF!</definedName>
    <definedName name="PROD_TVP_CBUQ">#REF!</definedName>
    <definedName name="PROD_TVP_LAMA">#REF!</definedName>
    <definedName name="PROD_TVP_MICRO">#REF!</definedName>
    <definedName name="PROD_TVR_CBUQ">#REF!</definedName>
    <definedName name="PROD_TVR_LAMA">#REF!</definedName>
    <definedName name="PROD_TVR_MICRO">#REF!</definedName>
    <definedName name="ptf">#N/A</definedName>
    <definedName name="ptg">#N/A</definedName>
    <definedName name="ptp">#N/A</definedName>
    <definedName name="ptt">#N/A</definedName>
    <definedName name="q">#REF!</definedName>
    <definedName name="QQ_2" localSheetId="4">'Controle Pluv.'!QQ_2</definedName>
    <definedName name="QQ_2" localSheetId="2">Equipamentos!QQ_2</definedName>
    <definedName name="QQ_2">#REF!</definedName>
    <definedName name="QUADRO">#REF!</definedName>
    <definedName name="QUATORZE">#REF!</definedName>
    <definedName name="quatro">#N/A</definedName>
    <definedName name="quatro_14">#REF!</definedName>
    <definedName name="quatro_3">#REF!</definedName>
    <definedName name="quatro_5">#REF!</definedName>
    <definedName name="quatro_6">#REF!</definedName>
    <definedName name="quatro_7">#REF!</definedName>
    <definedName name="quatro_8">#REF!</definedName>
    <definedName name="quilometros" localSheetId="4">#REF!</definedName>
    <definedName name="quilometros" localSheetId="2">#REF!</definedName>
    <definedName name="quilometros">#REF!</definedName>
    <definedName name="RBV">#REF!</definedName>
    <definedName name="RBV_14">#REF!</definedName>
    <definedName name="RBV_3">#REF!</definedName>
    <definedName name="RBV_6">#REF!</definedName>
    <definedName name="RBV_7">#REF!</definedName>
    <definedName name="RBV_8">#REF!</definedName>
    <definedName name="RBVV">#REF!</definedName>
    <definedName name="Recorder">#REF!</definedName>
    <definedName name="referf" localSheetId="4">#REF!</definedName>
    <definedName name="referf" localSheetId="2">#REF!</definedName>
    <definedName name="referf">#REF!</definedName>
    <definedName name="REG" localSheetId="4">#REF!</definedName>
    <definedName name="REG" localSheetId="2">#REF!</definedName>
    <definedName name="REG">#REF!</definedName>
    <definedName name="REGULA" localSheetId="4">#REF!</definedName>
    <definedName name="REGULA" localSheetId="2">#REF!</definedName>
    <definedName name="REGULA">#REF!</definedName>
    <definedName name="REL" localSheetId="4" hidden="1">{#N/A,#N/A,TRUE,"Serviços"}</definedName>
    <definedName name="REL" localSheetId="2" hidden="1">{#N/A,#N/A,TRUE,"Serviços"}</definedName>
    <definedName name="REL" hidden="1">{#N/A,#N/A,TRUE,"Serviços"}</definedName>
    <definedName name="relatorio" localSheetId="4">'Controle Pluv.'!relatorio</definedName>
    <definedName name="relatorio" localSheetId="2">Equipamentos!relatorio</definedName>
    <definedName name="relatorio">#REF!</definedName>
    <definedName name="res" localSheetId="4">'Controle Pluv.'!res</definedName>
    <definedName name="res" localSheetId="2">Equipamentos!res</definedName>
    <definedName name="res">#REF!</definedName>
    <definedName name="RESULTADO">#REF!</definedName>
    <definedName name="RESUMO" localSheetId="4">'Controle Pluv.'!RESUMO</definedName>
    <definedName name="RESUMO" localSheetId="2">Equipamentos!RESUMO</definedName>
    <definedName name="RESUMO">#REF!</definedName>
    <definedName name="rfrg" localSheetId="4" hidden="1">{#N/A,#N/A,TRUE,"Serviços"}</definedName>
    <definedName name="rfrg" localSheetId="2" hidden="1">{#N/A,#N/A,TRUE,"Serviços"}</definedName>
    <definedName name="rfrg" hidden="1">{#N/A,#N/A,TRUE,"Serviços"}</definedName>
    <definedName name="RICardo" hidden="1">#REF!</definedName>
    <definedName name="RMA" localSheetId="4">#REF!</definedName>
    <definedName name="RMA">#REF!</definedName>
    <definedName name="RMCGP">#REF!</definedName>
    <definedName name="RMCGPMA">#REF!</definedName>
    <definedName name="RMCGPTA">#REF!</definedName>
    <definedName name="RMRB">#REF!</definedName>
    <definedName name="RMRBMA">#REF!</definedName>
    <definedName name="RMRBTA">#REF!</definedName>
    <definedName name="rodinei">#REF!</definedName>
    <definedName name="RODOV">#REF!</definedName>
    <definedName name="rr" localSheetId="4" hidden="1">{#N/A,#N/A,TRUE,"Serviços"}</definedName>
    <definedName name="rr" localSheetId="2" hidden="1">{#N/A,#N/A,TRUE,"Serviços"}</definedName>
    <definedName name="rr" hidden="1">{#N/A,#N/A,TRUE,"Serviços"}</definedName>
    <definedName name="RR1CRSFRESA">#REF!</definedName>
    <definedName name="RR1CRSFRESAMA">#REF!</definedName>
    <definedName name="RR1CRSFRESATA">#REF!</definedName>
    <definedName name="rrff" localSheetId="4" hidden="1">{#N/A,#N/A,TRUE,"Serviços"}</definedName>
    <definedName name="rrff" localSheetId="2" hidden="1">{#N/A,#N/A,TRUE,"Serviços"}</definedName>
    <definedName name="rrff" hidden="1">{#N/A,#N/A,TRUE,"Serviços"}</definedName>
    <definedName name="RRS">#REF!</definedName>
    <definedName name="RRSMA">#REF!</definedName>
    <definedName name="RRSTA">#REF!</definedName>
    <definedName name="RS" localSheetId="4">#REF!</definedName>
    <definedName name="RS" localSheetId="2">#REF!</definedName>
    <definedName name="RS">#REF!</definedName>
    <definedName name="RSTA">#REF!</definedName>
    <definedName name="s">#N/A</definedName>
    <definedName name="SADFG">#REF!</definedName>
    <definedName name="SASDDFSH">"Figura 24"</definedName>
    <definedName name="sbg" localSheetId="4">#REF!</definedName>
    <definedName name="sbg" localSheetId="2">#REF!</definedName>
    <definedName name="sbg">#REF!</definedName>
    <definedName name="SBTC" localSheetId="4">#REF!</definedName>
    <definedName name="SBTC" localSheetId="2">#REF!</definedName>
    <definedName name="SBTC">#REF!</definedName>
    <definedName name="scscs" localSheetId="4">#REF!</definedName>
    <definedName name="scscs">#REF!</definedName>
    <definedName name="sdafdsg">#REF!</definedName>
    <definedName name="SDD">#REF!</definedName>
    <definedName name="SDF">#REF!</definedName>
    <definedName name="sdfffafsa">#REF!</definedName>
    <definedName name="sdfwefg" localSheetId="4">#REF!</definedName>
    <definedName name="sdfwefg">#REF!</definedName>
    <definedName name="SEG">#REF!</definedName>
    <definedName name="SEGMTO">#REF!</definedName>
    <definedName name="seis">#N/A</definedName>
    <definedName name="seis_14">#REF!</definedName>
    <definedName name="seis_3">#REF!</definedName>
    <definedName name="seis_5">#REF!</definedName>
    <definedName name="seis_6">#REF!</definedName>
    <definedName name="seis_7">#REF!</definedName>
    <definedName name="seis_8">#REF!</definedName>
    <definedName name="sencount">1</definedName>
    <definedName name="Serviço" localSheetId="4">#REF!</definedName>
    <definedName name="Serviço" localSheetId="2">#REF!</definedName>
    <definedName name="Serviço">#REF!</definedName>
    <definedName name="SET" localSheetId="4">#REF!</definedName>
    <definedName name="SET" localSheetId="2">#REF!</definedName>
    <definedName name="SET">#REF!</definedName>
    <definedName name="sete">#N/A</definedName>
    <definedName name="sete_14">#REF!</definedName>
    <definedName name="sete_3">#REF!</definedName>
    <definedName name="sete_5">#REF!</definedName>
    <definedName name="sete_6">#REF!</definedName>
    <definedName name="sete_7">#REF!</definedName>
    <definedName name="sete_8">#REF!</definedName>
    <definedName name="SETEMBRO" localSheetId="4" hidden="1">{#N/A,#N/A,TRUE,"Serviços"}</definedName>
    <definedName name="SETEMBRO" localSheetId="2" hidden="1">{#N/A,#N/A,TRUE,"Serviços"}</definedName>
    <definedName name="SETEMBRO" hidden="1">{#N/A,#N/A,TRUE,"Serviços"}</definedName>
    <definedName name="sfeewaf" localSheetId="4">#REF!</definedName>
    <definedName name="sfeewaf" localSheetId="2">#REF!</definedName>
    <definedName name="sfeewaf">#REF!</definedName>
    <definedName name="siloquente">#N/A</definedName>
    <definedName name="siloquente_14">#REF!</definedName>
    <definedName name="siloquente_3">#REF!</definedName>
    <definedName name="siloquente_5">#REF!</definedName>
    <definedName name="siloquente_6">#REF!</definedName>
    <definedName name="siloquente_7">#REF!</definedName>
    <definedName name="siloquente_8">#REF!</definedName>
    <definedName name="sim">#N/A</definedName>
    <definedName name="solver_lin" hidden="1">0</definedName>
    <definedName name="solver_num" hidden="1">0</definedName>
    <definedName name="solver_opt" hidden="1">#REF!</definedName>
    <definedName name="solver_typ" hidden="1">1</definedName>
    <definedName name="solver_val" hidden="1">0</definedName>
    <definedName name="SomaMedAtual" localSheetId="4">SUM(IF(#REF!=#REF!,IF(#REF!=#REF!,#REF!)))</definedName>
    <definedName name="SomaMedAtual" localSheetId="2">SUM(IF(#REF!=#REF!,IF(#REF!=#REF!,#REF!)))</definedName>
    <definedName name="SomaMedAtual">SUM(IF(#REF!=#REF!,IF(#REF!=#REF!,#REF!)))</definedName>
    <definedName name="sssa" localSheetId="4">'Controle Pluv.'!sssa</definedName>
    <definedName name="sssa" localSheetId="2">Equipamentos!sssa</definedName>
    <definedName name="sssa">#REF!</definedName>
    <definedName name="ssssssss">#REF!</definedName>
    <definedName name="SUBTRECH">#REF!</definedName>
    <definedName name="sx" localSheetId="4">#REF!</definedName>
    <definedName name="sx" localSheetId="2">#REF!</definedName>
    <definedName name="sx">#REF!</definedName>
    <definedName name="TAA">#REF!</definedName>
    <definedName name="Tab_Serv." localSheetId="4">#REF!</definedName>
    <definedName name="Tab_Serv." localSheetId="2">#REF!</definedName>
    <definedName name="Tab_Serv.">#REF!</definedName>
    <definedName name="Tab_Serviços" localSheetId="4">#REF!</definedName>
    <definedName name="Tab_Serviços" localSheetId="2">#REF!</definedName>
    <definedName name="Tab_Serviços">#REF!</definedName>
    <definedName name="TABE">#REF!</definedName>
    <definedName name="TABI">#REF!</definedName>
    <definedName name="TCAP20RP">#REF!</definedName>
    <definedName name="TCAP20RPMA">#REF!</definedName>
    <definedName name="TCAP20RPTA">#REF!</definedName>
    <definedName name="TCAPPA">#REF!</definedName>
    <definedName name="TCAPPAMA">#REF!</definedName>
    <definedName name="TCAPPATA">#REF!</definedName>
    <definedName name="TCAPRS">#REF!</definedName>
    <definedName name="TCAPRSTA">#REF!</definedName>
    <definedName name="TCM30RP">#REF!</definedName>
    <definedName name="TCM30RPMA">#REF!</definedName>
    <definedName name="TCM30RPTA">#REF!</definedName>
    <definedName name="TEM.." hidden="1">#REF!</definedName>
    <definedName name="TEMUL_ASF">#REF!</definedName>
    <definedName name="TEMUL_ASF_MA">#REF!</definedName>
    <definedName name="TEMUL_ASF_TA">#REF!</definedName>
    <definedName name="Teor">#REF!</definedName>
    <definedName name="Teor_14">#REF!</definedName>
    <definedName name="Teor_3">#REF!</definedName>
    <definedName name="Teor_6">#REF!</definedName>
    <definedName name="Teor_7">#REF!</definedName>
    <definedName name="Teor_8">#REF!</definedName>
    <definedName name="Teor1">#REF!</definedName>
    <definedName name="TEP">#REF!</definedName>
    <definedName name="TEPMA">#REF!</definedName>
    <definedName name="TEPTA">#REF!</definedName>
    <definedName name="TErra" localSheetId="4">'Controle Pluv.'!TErra</definedName>
    <definedName name="TErra" localSheetId="2">Equipamentos!TErra</definedName>
    <definedName name="TErra">#REF!</definedName>
    <definedName name="teste">#REF!</definedName>
    <definedName name="teta">#REF!</definedName>
    <definedName name="_xlnm.Print_Titles">#REF!</definedName>
    <definedName name="total">#N/A</definedName>
    <definedName name="TOTALSAIBRO" localSheetId="4">#REF!</definedName>
    <definedName name="TOTALSAIBRO" localSheetId="2">#REF!</definedName>
    <definedName name="TOTALSAIBRO">#REF!</definedName>
    <definedName name="TPGRAN">#REF!</definedName>
    <definedName name="TPM" localSheetId="4">#REF!</definedName>
    <definedName name="TPM" localSheetId="2">#REF!</definedName>
    <definedName name="TPM">#REF!</definedName>
    <definedName name="transporte" localSheetId="4">#REF!</definedName>
    <definedName name="transporte" localSheetId="2">#REF!</definedName>
    <definedName name="transporte">#REF!</definedName>
    <definedName name="TRB">#REF!</definedName>
    <definedName name="TRBMA">#REF!</definedName>
    <definedName name="TRBTA">#REF!</definedName>
    <definedName name="TRECH">#REF!</definedName>
    <definedName name="tres">#N/A</definedName>
    <definedName name="tres_14">#REF!</definedName>
    <definedName name="tres_3">#REF!</definedName>
    <definedName name="tres_5">#REF!</definedName>
    <definedName name="tres_6">#REF!</definedName>
    <definedName name="tres_7">#REF!</definedName>
    <definedName name="tres_8">#REF!</definedName>
    <definedName name="treze">#N/A</definedName>
    <definedName name="treze_14">#REF!</definedName>
    <definedName name="treze_3">#REF!</definedName>
    <definedName name="treze_5">#REF!</definedName>
    <definedName name="treze_6">#REF!</definedName>
    <definedName name="treze_7">#REF!</definedName>
    <definedName name="treze_8">#REF!</definedName>
    <definedName name="TRINTA">#REF!</definedName>
    <definedName name="TRL1C">#REF!</definedName>
    <definedName name="TRL1CMA">#REF!</definedName>
    <definedName name="TRL1CTA">#REF!</definedName>
    <definedName name="TRR1CPA">#REF!</definedName>
    <definedName name="TRR1CPAMA">#REF!</definedName>
    <definedName name="TRR1CPATA">#REF!</definedName>
    <definedName name="TRR1CRS">#REF!</definedName>
    <definedName name="TRR1CRSFRESA">#REF!</definedName>
    <definedName name="TRR1CRSFRESAMA">#REF!</definedName>
    <definedName name="TRR1CRSFRESATA">#REF!</definedName>
    <definedName name="TRR1CRSMA">#REF!</definedName>
    <definedName name="TRR1CRSTA">#REF!</definedName>
    <definedName name="TSDP">#REF!</definedName>
    <definedName name="TT">#REF!</definedName>
    <definedName name="ttt">#N/A</definedName>
    <definedName name="Txt_med">#REF!</definedName>
    <definedName name="TYUIO" localSheetId="4" hidden="1">{#N/A,#N/A,TRUE,"Serviços"}</definedName>
    <definedName name="TYUIO" localSheetId="2" hidden="1">{#N/A,#N/A,TRUE,"Serviços"}</definedName>
    <definedName name="TYUIO" hidden="1">{#N/A,#N/A,TRUE,"Serviços"}</definedName>
    <definedName name="um">#N/A</definedName>
    <definedName name="um_14">#REF!</definedName>
    <definedName name="um_3">#REF!</definedName>
    <definedName name="um_5">#REF!</definedName>
    <definedName name="um_6">#REF!</definedName>
    <definedName name="um_7">#REF!</definedName>
    <definedName name="um_8">#REF!</definedName>
    <definedName name="uuu" localSheetId="4" hidden="1">{#N/A,#N/A,TRUE,"Serviços"}</definedName>
    <definedName name="uuu" localSheetId="2" hidden="1">{#N/A,#N/A,TRUE,"Serviços"}</definedName>
    <definedName name="uuu" hidden="1">{#N/A,#N/A,TRUE,"Serviços"}</definedName>
    <definedName name="uuuuuty" localSheetId="4">'Controle Pluv.'!uuuuuty</definedName>
    <definedName name="uuuuuty" localSheetId="2">Equipamentos!uuuuuty</definedName>
    <definedName name="uuuuuty">#REF!</definedName>
    <definedName name="VADA">#REF!</definedName>
    <definedName name="VAM" localSheetId="4">#REF!</definedName>
    <definedName name="VAM" localSheetId="2">#REF!</definedName>
    <definedName name="VAM">#REF!</definedName>
    <definedName name="VAM_14">#REF!</definedName>
    <definedName name="VAM_3">#REF!</definedName>
    <definedName name="VAM_6">#REF!</definedName>
    <definedName name="VAM_7">#REF!</definedName>
    <definedName name="VAM_8">#REF!</definedName>
    <definedName name="VAMM" localSheetId="4">#REF!</definedName>
    <definedName name="VAMM" localSheetId="2">#REF!</definedName>
    <definedName name="VAMM">#REF!</definedName>
    <definedName name="Vazio1">#REF!</definedName>
    <definedName name="VAZIO2">#REF!</definedName>
    <definedName name="Vazios">#REF!</definedName>
    <definedName name="Vazios_14">#REF!</definedName>
    <definedName name="Vazios_3">#REF!</definedName>
    <definedName name="Vazios_6">#REF!</definedName>
    <definedName name="Vazios_7">#REF!</definedName>
    <definedName name="Vazios_8">#REF!</definedName>
    <definedName name="verde" localSheetId="4">#REF!</definedName>
    <definedName name="verde" localSheetId="2">#REF!</definedName>
    <definedName name="verde">#REF!</definedName>
    <definedName name="verdepav" localSheetId="4">#REF!</definedName>
    <definedName name="verdepav" localSheetId="2">#REF!</definedName>
    <definedName name="verdepav">#REF!</definedName>
    <definedName name="versao">#REF!</definedName>
    <definedName name="vfvr" localSheetId="4">'Controle Pluv.'!vfvr</definedName>
    <definedName name="vfvr" localSheetId="2">Equipamentos!vfvr</definedName>
    <definedName name="vfvr">#REF!</definedName>
    <definedName name="VI_TVE">#REF!</definedName>
    <definedName name="VI_TVR">#REF!</definedName>
    <definedName name="VINTEOITO">#REF!</definedName>
    <definedName name="visc">#N/A</definedName>
    <definedName name="VLM">#REF!</definedName>
    <definedName name="VP_TVE">#REF!</definedName>
    <definedName name="VP_TVR">#REF!</definedName>
    <definedName name="VPD_TVE">#REF!</definedName>
    <definedName name="VPD_TVR">#REF!</definedName>
    <definedName name="wdwq" localSheetId="4">#REF!</definedName>
    <definedName name="wdwq">#REF!</definedName>
    <definedName name="wefwefwe" localSheetId="4">#REF!</definedName>
    <definedName name="wefwefwe">#REF!</definedName>
    <definedName name="WEWRWR" localSheetId="4">'Controle Pluv.'!WEWRWR</definedName>
    <definedName name="WEWRWR" localSheetId="2">Equipamentos!WEWRWR</definedName>
    <definedName name="WEWRWR">#REF!</definedName>
    <definedName name="wrn.Tipo." localSheetId="4" hidden="1">{#N/A,#N/A,TRUE,"Serviços"}</definedName>
    <definedName name="wrn.Tipo." localSheetId="2" hidden="1">{#N/A,#N/A,TRUE,"Serviços"}</definedName>
    <definedName name="wrn.Tipo." hidden="1">{#N/A,#N/A,TRUE,"Serviços"}</definedName>
    <definedName name="x" localSheetId="4" hidden="1">{#N/A,#N/A,TRUE,"Serviços"}</definedName>
    <definedName name="x" localSheetId="2" hidden="1">{#N/A,#N/A,TRUE,"Serviços"}</definedName>
    <definedName name="x" hidden="1">{#N/A,#N/A,TRUE,"Serviços"}</definedName>
    <definedName name="x0">#REF!</definedName>
    <definedName name="xs" localSheetId="4">#REF!</definedName>
    <definedName name="xs" localSheetId="2">#REF!</definedName>
    <definedName name="xs">#REF!</definedName>
    <definedName name="xsx" localSheetId="4">#REF!</definedName>
    <definedName name="xsx">#REF!</definedName>
    <definedName name="xsxs" localSheetId="4">#REF!</definedName>
    <definedName name="xsxs" localSheetId="2">#REF!</definedName>
    <definedName name="xsxs">#REF!</definedName>
    <definedName name="xx" localSheetId="4">'Controle Pluv.'!xx</definedName>
    <definedName name="xx" localSheetId="2">Equipamentos!xx</definedName>
    <definedName name="xx">#REF!</definedName>
    <definedName name="XXX" localSheetId="4">'Controle Pluv.'!XXX</definedName>
    <definedName name="XXX" localSheetId="2">Equipamentos!XXX</definedName>
    <definedName name="XXX">#REF!</definedName>
    <definedName name="Y">#REF!</definedName>
    <definedName name="y0">#REF!</definedName>
    <definedName name="yy">#REF!</definedName>
    <definedName name="ZMDCLÇERJP´F" localSheetId="4">#REF!</definedName>
    <definedName name="ZMDCLÇERJP´F" localSheetId="2">#REF!</definedName>
    <definedName name="ZMDCLÇERJP´F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64" i="6" l="1"/>
  <c r="Y63" i="6"/>
  <c r="Y62" i="6"/>
  <c r="I46" i="6"/>
  <c r="I45" i="6"/>
  <c r="S43" i="6" s="1"/>
  <c r="I44" i="6"/>
  <c r="S42" i="6" s="1"/>
  <c r="I42" i="6"/>
  <c r="S41" i="6"/>
  <c r="I41" i="6"/>
  <c r="S40" i="6" s="1"/>
  <c r="I40" i="6"/>
  <c r="S39" i="6"/>
  <c r="I39" i="6"/>
  <c r="S38" i="6"/>
  <c r="I38" i="6"/>
  <c r="S37" i="6"/>
  <c r="I37" i="6"/>
  <c r="S36" i="6"/>
  <c r="I36" i="6"/>
  <c r="S35" i="6"/>
  <c r="I35" i="6"/>
  <c r="S34" i="6"/>
  <c r="I34" i="6"/>
  <c r="S33" i="6"/>
  <c r="I33" i="6"/>
  <c r="S32" i="6"/>
  <c r="I32" i="6"/>
  <c r="S31" i="6"/>
  <c r="I31" i="6"/>
  <c r="S30" i="6" s="1"/>
  <c r="I30" i="6"/>
  <c r="S29" i="6"/>
  <c r="I29" i="6"/>
  <c r="S28" i="6"/>
  <c r="I28" i="6"/>
  <c r="S27" i="6" s="1"/>
  <c r="I27" i="6"/>
  <c r="S26" i="6"/>
  <c r="I26" i="6"/>
  <c r="S25" i="6"/>
  <c r="I25" i="6"/>
  <c r="S24" i="6" s="1"/>
  <c r="I24" i="6"/>
  <c r="S23" i="6"/>
  <c r="K23" i="6"/>
  <c r="I23" i="6"/>
  <c r="S22" i="6"/>
  <c r="I22" i="6"/>
  <c r="S21" i="6" s="1"/>
  <c r="I21" i="6"/>
  <c r="S20" i="6"/>
  <c r="I20" i="6"/>
  <c r="S19" i="6"/>
  <c r="I19" i="6"/>
  <c r="S18" i="6" s="1"/>
  <c r="I18" i="6"/>
  <c r="S17" i="6"/>
  <c r="I17" i="6"/>
  <c r="S16" i="6"/>
  <c r="I16" i="6"/>
  <c r="S15" i="6" s="1"/>
  <c r="D16" i="6"/>
  <c r="R15" i="6" s="1"/>
  <c r="I15" i="6"/>
  <c r="K18" i="6" s="1"/>
  <c r="K28" i="6" s="1"/>
  <c r="E15" i="6"/>
  <c r="S14" i="6"/>
  <c r="R14" i="6"/>
  <c r="S13" i="6"/>
  <c r="R13" i="6"/>
  <c r="M9" i="6"/>
  <c r="E12" i="6" s="1"/>
  <c r="R10" i="6" s="1"/>
  <c r="M8" i="6"/>
  <c r="M7" i="6"/>
  <c r="K10" i="5"/>
  <c r="D10" i="5"/>
  <c r="K9" i="5"/>
  <c r="D9" i="5"/>
  <c r="K8" i="5"/>
  <c r="D8" i="5"/>
  <c r="J10" i="4"/>
  <c r="D10" i="4"/>
  <c r="J9" i="4"/>
  <c r="D9" i="4"/>
  <c r="J8" i="4"/>
  <c r="D8" i="4"/>
  <c r="H241" i="2"/>
  <c r="D241" i="2"/>
  <c r="H240" i="2"/>
  <c r="D240" i="2"/>
  <c r="H239" i="2"/>
  <c r="D239" i="2"/>
  <c r="H238" i="2"/>
  <c r="D238" i="2"/>
  <c r="H237" i="2"/>
  <c r="D237" i="2"/>
  <c r="H236" i="2"/>
  <c r="D236" i="2"/>
  <c r="H235" i="2"/>
  <c r="D235" i="2"/>
  <c r="H234" i="2"/>
  <c r="D234" i="2"/>
  <c r="H233" i="2"/>
  <c r="D233" i="2"/>
  <c r="H232" i="2"/>
  <c r="D232" i="2"/>
  <c r="H231" i="2"/>
  <c r="D231" i="2"/>
  <c r="H230" i="2"/>
  <c r="D230" i="2"/>
  <c r="H229" i="2"/>
  <c r="D229" i="2"/>
  <c r="H228" i="2"/>
  <c r="D228" i="2"/>
  <c r="H227" i="2"/>
  <c r="D227" i="2"/>
  <c r="H226" i="2"/>
  <c r="D226" i="2"/>
  <c r="H225" i="2"/>
  <c r="D225" i="2"/>
  <c r="H224" i="2"/>
  <c r="D224" i="2"/>
  <c r="H223" i="2"/>
  <c r="D223" i="2"/>
  <c r="H222" i="2"/>
  <c r="D222" i="2"/>
  <c r="H221" i="2"/>
  <c r="D221" i="2"/>
  <c r="H220" i="2"/>
  <c r="D220" i="2"/>
  <c r="H219" i="2"/>
  <c r="D219" i="2"/>
  <c r="H218" i="2"/>
  <c r="D218" i="2"/>
  <c r="H217" i="2"/>
  <c r="D217" i="2"/>
  <c r="H216" i="2"/>
  <c r="D216" i="2"/>
  <c r="H215" i="2"/>
  <c r="D215" i="2"/>
  <c r="H214" i="2"/>
  <c r="D214" i="2"/>
  <c r="H213" i="2"/>
  <c r="D213" i="2"/>
  <c r="H212" i="2"/>
  <c r="D212" i="2"/>
  <c r="H211" i="2"/>
  <c r="D211" i="2"/>
  <c r="H210" i="2"/>
  <c r="D210" i="2"/>
  <c r="H209" i="2"/>
  <c r="D209" i="2"/>
  <c r="H208" i="2"/>
  <c r="D208" i="2"/>
  <c r="H180" i="2"/>
  <c r="D180" i="2"/>
  <c r="D15" i="2"/>
  <c r="C15" i="2"/>
  <c r="H15" i="2" s="1"/>
  <c r="H14" i="2"/>
  <c r="D14" i="2"/>
  <c r="S48" i="6" l="1"/>
  <c r="T44" i="6"/>
  <c r="E16" i="6"/>
  <c r="D17" i="6"/>
  <c r="C16" i="2"/>
  <c r="D18" i="6" l="1"/>
  <c r="E17" i="6"/>
  <c r="R16" i="6"/>
  <c r="C17" i="2"/>
  <c r="H16" i="2"/>
  <c r="D16" i="2"/>
  <c r="D19" i="6" l="1"/>
  <c r="E18" i="6"/>
  <c r="R17" i="6"/>
  <c r="C18" i="2"/>
  <c r="H17" i="2"/>
  <c r="D17" i="2"/>
  <c r="D20" i="6" l="1"/>
  <c r="R18" i="6"/>
  <c r="E19" i="6"/>
  <c r="C19" i="2"/>
  <c r="H18" i="2"/>
  <c r="D18" i="2"/>
  <c r="D21" i="6" l="1"/>
  <c r="E20" i="6"/>
  <c r="R19" i="6"/>
  <c r="H19" i="2"/>
  <c r="D19" i="2"/>
  <c r="C20" i="2"/>
  <c r="D22" i="6" l="1"/>
  <c r="E21" i="6"/>
  <c r="R20" i="6"/>
  <c r="H20" i="2"/>
  <c r="D20" i="2"/>
  <c r="C21" i="2"/>
  <c r="R21" i="6" l="1"/>
  <c r="D23" i="6"/>
  <c r="E22" i="6"/>
  <c r="D21" i="2"/>
  <c r="H21" i="2"/>
  <c r="C22" i="2"/>
  <c r="D24" i="6" l="1"/>
  <c r="E23" i="6"/>
  <c r="R22" i="6"/>
  <c r="H22" i="2"/>
  <c r="C23" i="2"/>
  <c r="D22" i="2"/>
  <c r="D25" i="6" l="1"/>
  <c r="E24" i="6"/>
  <c r="R23" i="6"/>
  <c r="C24" i="2"/>
  <c r="H23" i="2"/>
  <c r="D23" i="2"/>
  <c r="E25" i="6" l="1"/>
  <c r="R24" i="6"/>
  <c r="D26" i="6"/>
  <c r="H24" i="2"/>
  <c r="D24" i="2"/>
  <c r="C25" i="2"/>
  <c r="D27" i="6" l="1"/>
  <c r="E26" i="6"/>
  <c r="R25" i="6"/>
  <c r="C26" i="2"/>
  <c r="H25" i="2"/>
  <c r="D25" i="2"/>
  <c r="E27" i="6" l="1"/>
  <c r="D28" i="6"/>
  <c r="R26" i="6"/>
  <c r="C27" i="2"/>
  <c r="H26" i="2"/>
  <c r="D26" i="2"/>
  <c r="E28" i="6" l="1"/>
  <c r="R27" i="6"/>
  <c r="D29" i="6"/>
  <c r="H27" i="2"/>
  <c r="C28" i="2"/>
  <c r="D27" i="2"/>
  <c r="D30" i="6" l="1"/>
  <c r="E29" i="6"/>
  <c r="R28" i="6"/>
  <c r="C29" i="2"/>
  <c r="H28" i="2"/>
  <c r="D28" i="2"/>
  <c r="D31" i="6" l="1"/>
  <c r="E30" i="6"/>
  <c r="R29" i="6"/>
  <c r="C30" i="2"/>
  <c r="H29" i="2"/>
  <c r="D29" i="2"/>
  <c r="E31" i="6" l="1"/>
  <c r="R30" i="6"/>
  <c r="D32" i="6"/>
  <c r="D30" i="2"/>
  <c r="C31" i="2"/>
  <c r="H30" i="2"/>
  <c r="D33" i="6" l="1"/>
  <c r="E32" i="6"/>
  <c r="R31" i="6"/>
  <c r="C32" i="2"/>
  <c r="D31" i="2"/>
  <c r="H31" i="2"/>
  <c r="D34" i="6" l="1"/>
  <c r="E33" i="6"/>
  <c r="R32" i="6"/>
  <c r="C33" i="2"/>
  <c r="H32" i="2"/>
  <c r="D32" i="2"/>
  <c r="E34" i="6" l="1"/>
  <c r="D35" i="6"/>
  <c r="R33" i="6"/>
  <c r="C34" i="2"/>
  <c r="H33" i="2"/>
  <c r="D33" i="2"/>
  <c r="D36" i="6" l="1"/>
  <c r="E35" i="6"/>
  <c r="R34" i="6"/>
  <c r="C35" i="2"/>
  <c r="H34" i="2"/>
  <c r="D34" i="2"/>
  <c r="D37" i="6" l="1"/>
  <c r="E36" i="6"/>
  <c r="R35" i="6"/>
  <c r="D35" i="2"/>
  <c r="H35" i="2"/>
  <c r="C36" i="2"/>
  <c r="D38" i="6" l="1"/>
  <c r="E37" i="6"/>
  <c r="R36" i="6"/>
  <c r="H36" i="2"/>
  <c r="C37" i="2"/>
  <c r="D36" i="2"/>
  <c r="D39" i="6" l="1"/>
  <c r="R37" i="6"/>
  <c r="E38" i="6"/>
  <c r="C38" i="2"/>
  <c r="H37" i="2"/>
  <c r="D37" i="2"/>
  <c r="D40" i="6" l="1"/>
  <c r="E39" i="6"/>
  <c r="R38" i="6"/>
  <c r="C39" i="2"/>
  <c r="H38" i="2"/>
  <c r="D38" i="2"/>
  <c r="E40" i="6" l="1"/>
  <c r="D41" i="6"/>
  <c r="R39" i="6"/>
  <c r="C40" i="2"/>
  <c r="H39" i="2"/>
  <c r="D39" i="2"/>
  <c r="R40" i="6" l="1"/>
  <c r="D42" i="6"/>
  <c r="E41" i="6"/>
  <c r="C41" i="2"/>
  <c r="H40" i="2"/>
  <c r="D40" i="2"/>
  <c r="D43" i="6" l="1"/>
  <c r="E42" i="6"/>
  <c r="R41" i="6"/>
  <c r="D41" i="2"/>
  <c r="C42" i="2"/>
  <c r="H41" i="2"/>
  <c r="D44" i="6" l="1"/>
  <c r="E43" i="6"/>
  <c r="C43" i="2"/>
  <c r="D42" i="2"/>
  <c r="H42" i="2"/>
  <c r="D45" i="6" l="1"/>
  <c r="E44" i="6"/>
  <c r="R42" i="6"/>
  <c r="C44" i="2"/>
  <c r="D43" i="2"/>
  <c r="H43" i="2"/>
  <c r="D46" i="6" l="1"/>
  <c r="E46" i="6" s="1"/>
  <c r="R43" i="6"/>
  <c r="E45" i="6"/>
  <c r="D44" i="2"/>
  <c r="C45" i="2"/>
  <c r="H44" i="2"/>
  <c r="C46" i="2" l="1"/>
  <c r="H45" i="2"/>
  <c r="D45" i="2"/>
  <c r="D46" i="2" l="1"/>
  <c r="C47" i="2"/>
  <c r="H46" i="2"/>
  <c r="H47" i="2" l="1"/>
  <c r="C48" i="2"/>
  <c r="D47" i="2"/>
  <c r="C49" i="2" l="1"/>
  <c r="H48" i="2"/>
  <c r="D48" i="2"/>
  <c r="C50" i="2" l="1"/>
  <c r="H49" i="2"/>
  <c r="D49" i="2"/>
  <c r="C51" i="2" l="1"/>
  <c r="H50" i="2"/>
  <c r="D50" i="2"/>
  <c r="H51" i="2" l="1"/>
  <c r="D51" i="2"/>
  <c r="C52" i="2"/>
  <c r="H52" i="2" l="1"/>
  <c r="C53" i="2"/>
  <c r="D52" i="2"/>
  <c r="H53" i="2" l="1"/>
  <c r="C54" i="2"/>
  <c r="D53" i="2"/>
  <c r="C55" i="2" l="1"/>
  <c r="H54" i="2"/>
  <c r="D54" i="2"/>
  <c r="C56" i="2" l="1"/>
  <c r="H55" i="2"/>
  <c r="D55" i="2"/>
  <c r="H56" i="2" l="1"/>
  <c r="D56" i="2"/>
  <c r="C76" i="2"/>
  <c r="C77" i="2" l="1"/>
  <c r="H76" i="2"/>
  <c r="D76" i="2"/>
  <c r="C78" i="2" l="1"/>
  <c r="H77" i="2"/>
  <c r="D77" i="2"/>
  <c r="D78" i="2" l="1"/>
  <c r="C79" i="2"/>
  <c r="H78" i="2"/>
  <c r="C80" i="2" l="1"/>
  <c r="H79" i="2"/>
  <c r="D79" i="2"/>
  <c r="C81" i="2" l="1"/>
  <c r="H80" i="2"/>
  <c r="D80" i="2"/>
  <c r="H81" i="2" l="1"/>
  <c r="D81" i="2"/>
  <c r="C82" i="2"/>
  <c r="H82" i="2" l="1"/>
  <c r="D82" i="2"/>
  <c r="C83" i="2"/>
  <c r="C84" i="2" l="1"/>
  <c r="H83" i="2"/>
  <c r="D83" i="2"/>
  <c r="D84" i="2" l="1"/>
  <c r="C85" i="2"/>
  <c r="H84" i="2"/>
  <c r="C86" i="2" l="1"/>
  <c r="H85" i="2"/>
  <c r="D85" i="2"/>
  <c r="D86" i="2" l="1"/>
  <c r="H86" i="2"/>
  <c r="C87" i="2"/>
  <c r="H87" i="2" l="1"/>
  <c r="C88" i="2"/>
  <c r="D87" i="2"/>
  <c r="C89" i="2" l="1"/>
  <c r="H88" i="2"/>
  <c r="D88" i="2"/>
  <c r="C90" i="2" l="1"/>
  <c r="H89" i="2"/>
  <c r="D89" i="2"/>
  <c r="C91" i="2" l="1"/>
  <c r="H90" i="2"/>
  <c r="D90" i="2"/>
  <c r="C92" i="2" l="1"/>
  <c r="H91" i="2"/>
  <c r="D91" i="2"/>
  <c r="D92" i="2" l="1"/>
  <c r="H92" i="2"/>
  <c r="C93" i="2"/>
  <c r="C94" i="2" l="1"/>
  <c r="H93" i="2"/>
  <c r="D93" i="2"/>
  <c r="H94" i="2" l="1"/>
  <c r="C95" i="2"/>
  <c r="D94" i="2"/>
  <c r="C96" i="2" l="1"/>
  <c r="H95" i="2"/>
  <c r="D95" i="2"/>
  <c r="C97" i="2" l="1"/>
  <c r="H96" i="2"/>
  <c r="D96" i="2"/>
  <c r="C98" i="2" l="1"/>
  <c r="D97" i="2"/>
  <c r="H97" i="2"/>
  <c r="H98" i="2" l="1"/>
  <c r="C99" i="2"/>
  <c r="D98" i="2"/>
  <c r="C100" i="2" l="1"/>
  <c r="H99" i="2"/>
  <c r="D99" i="2"/>
  <c r="C101" i="2" l="1"/>
  <c r="H100" i="2"/>
  <c r="D100" i="2"/>
  <c r="C102" i="2" l="1"/>
  <c r="H101" i="2"/>
  <c r="D101" i="2"/>
  <c r="C103" i="2" l="1"/>
  <c r="H102" i="2"/>
  <c r="D102" i="2"/>
  <c r="H103" i="2" l="1"/>
  <c r="D103" i="2"/>
  <c r="C104" i="2"/>
  <c r="C105" i="2" l="1"/>
  <c r="D104" i="2"/>
  <c r="H104" i="2"/>
  <c r="C106" i="2" l="1"/>
  <c r="H105" i="2"/>
  <c r="D105" i="2"/>
  <c r="C107" i="2" l="1"/>
  <c r="H106" i="2"/>
  <c r="D106" i="2"/>
  <c r="H107" i="2" l="1"/>
  <c r="D107" i="2"/>
  <c r="C108" i="2"/>
  <c r="C109" i="2" l="1"/>
  <c r="H108" i="2"/>
  <c r="D108" i="2"/>
  <c r="D109" i="2" l="1"/>
  <c r="C110" i="2"/>
  <c r="H109" i="2"/>
  <c r="C111" i="2" l="1"/>
  <c r="H110" i="2"/>
  <c r="D110" i="2"/>
  <c r="C112" i="2" l="1"/>
  <c r="H111" i="2"/>
  <c r="D111" i="2"/>
  <c r="C113" i="2" l="1"/>
  <c r="H112" i="2"/>
  <c r="D112" i="2"/>
  <c r="D113" i="2" l="1"/>
  <c r="C114" i="2"/>
  <c r="H113" i="2"/>
  <c r="D114" i="2" l="1"/>
  <c r="C115" i="2"/>
  <c r="H114" i="2"/>
  <c r="D115" i="2" l="1"/>
  <c r="C116" i="2"/>
  <c r="H115" i="2"/>
  <c r="H116" i="2" l="1"/>
  <c r="D116" i="2"/>
  <c r="C117" i="2"/>
  <c r="C118" i="2" l="1"/>
  <c r="H117" i="2"/>
  <c r="D117" i="2"/>
  <c r="D118" i="2" l="1"/>
  <c r="H118" i="2"/>
  <c r="C138" i="2"/>
  <c r="H138" i="2" l="1"/>
  <c r="C139" i="2"/>
  <c r="D138" i="2"/>
  <c r="C140" i="2" l="1"/>
  <c r="H139" i="2"/>
  <c r="D139" i="2"/>
  <c r="C141" i="2" l="1"/>
  <c r="H140" i="2"/>
  <c r="D140" i="2"/>
  <c r="C142" i="2" l="1"/>
  <c r="H141" i="2"/>
  <c r="D141" i="2"/>
  <c r="C143" i="2" l="1"/>
  <c r="H142" i="2"/>
  <c r="D142" i="2"/>
  <c r="D143" i="2" l="1"/>
  <c r="C144" i="2"/>
  <c r="H143" i="2"/>
  <c r="H144" i="2" l="1"/>
  <c r="D144" i="2"/>
  <c r="C145" i="2"/>
  <c r="D145" i="2" l="1"/>
  <c r="C146" i="2"/>
  <c r="H145" i="2"/>
  <c r="C147" i="2" l="1"/>
  <c r="H146" i="2"/>
  <c r="D146" i="2"/>
  <c r="C148" i="2" l="1"/>
  <c r="H147" i="2"/>
  <c r="D147" i="2"/>
  <c r="C149" i="2" l="1"/>
  <c r="D148" i="2"/>
  <c r="H148" i="2"/>
  <c r="C150" i="2" l="1"/>
  <c r="H149" i="2"/>
  <c r="D149" i="2"/>
  <c r="C151" i="2" l="1"/>
  <c r="H150" i="2"/>
  <c r="D150" i="2"/>
  <c r="C152" i="2" l="1"/>
  <c r="H151" i="2"/>
  <c r="D151" i="2"/>
  <c r="C153" i="2" l="1"/>
  <c r="H152" i="2"/>
  <c r="D152" i="2"/>
  <c r="H153" i="2" l="1"/>
  <c r="D153" i="2"/>
  <c r="C154" i="2"/>
  <c r="D154" i="2" l="1"/>
  <c r="H154" i="2"/>
  <c r="C155" i="2"/>
  <c r="C156" i="2" l="1"/>
  <c r="H155" i="2"/>
  <c r="D155" i="2"/>
  <c r="H156" i="2" l="1"/>
  <c r="C157" i="2"/>
  <c r="D156" i="2"/>
  <c r="C158" i="2" l="1"/>
  <c r="H157" i="2"/>
  <c r="D157" i="2"/>
  <c r="H158" i="2" l="1"/>
  <c r="D158" i="2"/>
  <c r="C159" i="2"/>
  <c r="C160" i="2" l="1"/>
  <c r="H159" i="2"/>
  <c r="D159" i="2"/>
  <c r="D160" i="2" l="1"/>
  <c r="C161" i="2"/>
  <c r="H160" i="2"/>
  <c r="C162" i="2" l="1"/>
  <c r="H161" i="2"/>
  <c r="D161" i="2"/>
  <c r="C163" i="2" l="1"/>
  <c r="H162" i="2"/>
  <c r="D162" i="2"/>
  <c r="C164" i="2" l="1"/>
  <c r="H163" i="2"/>
  <c r="D163" i="2"/>
  <c r="C165" i="2" l="1"/>
  <c r="H164" i="2"/>
  <c r="D164" i="2"/>
  <c r="C166" i="2" l="1"/>
  <c r="H165" i="2"/>
  <c r="D165" i="2"/>
  <c r="H166" i="2" l="1"/>
  <c r="C167" i="2"/>
  <c r="D166" i="2"/>
  <c r="C168" i="2" l="1"/>
  <c r="H167" i="2"/>
  <c r="D167" i="2"/>
  <c r="C169" i="2" l="1"/>
  <c r="H168" i="2"/>
  <c r="D168" i="2"/>
  <c r="D169" i="2" l="1"/>
  <c r="H169" i="2"/>
  <c r="C170" i="2"/>
  <c r="C171" i="2" l="1"/>
  <c r="H170" i="2"/>
  <c r="D170" i="2"/>
  <c r="C172" i="2" l="1"/>
  <c r="H171" i="2"/>
  <c r="D171" i="2"/>
  <c r="C173" i="2" l="1"/>
  <c r="H172" i="2"/>
  <c r="D172" i="2"/>
  <c r="C174" i="2" l="1"/>
  <c r="H173" i="2"/>
  <c r="D173" i="2"/>
  <c r="C175" i="2" l="1"/>
  <c r="H174" i="2"/>
  <c r="D174" i="2"/>
  <c r="H175" i="2" l="1"/>
  <c r="D175" i="2"/>
  <c r="C176" i="2"/>
  <c r="C177" i="2" l="1"/>
  <c r="H176" i="2"/>
  <c r="D176" i="2"/>
  <c r="C178" i="2" l="1"/>
  <c r="D177" i="2"/>
  <c r="H177" i="2"/>
  <c r="C179" i="2" l="1"/>
  <c r="H178" i="2"/>
  <c r="D178" i="2"/>
  <c r="H179" i="2" l="1"/>
  <c r="D179" i="2"/>
  <c r="C199" i="2"/>
  <c r="H199" i="2" l="1"/>
  <c r="C200" i="2"/>
  <c r="D199" i="2"/>
  <c r="C201" i="2" l="1"/>
  <c r="H200" i="2"/>
  <c r="D200" i="2"/>
  <c r="C202" i="2" l="1"/>
  <c r="H201" i="2"/>
  <c r="D201" i="2"/>
  <c r="C203" i="2" l="1"/>
  <c r="H202" i="2"/>
  <c r="D202" i="2"/>
  <c r="C204" i="2" l="1"/>
  <c r="H203" i="2"/>
  <c r="D203" i="2"/>
  <c r="C205" i="2" l="1"/>
  <c r="H204" i="2"/>
  <c r="D204" i="2"/>
  <c r="D205" i="2" l="1"/>
  <c r="C206" i="2"/>
  <c r="H205" i="2"/>
  <c r="C207" i="2" l="1"/>
  <c r="H206" i="2"/>
  <c r="D206" i="2"/>
  <c r="H207" i="2" l="1"/>
  <c r="D207" i="2"/>
</calcChain>
</file>

<file path=xl/sharedStrings.xml><?xml version="1.0" encoding="utf-8"?>
<sst xmlns="http://schemas.openxmlformats.org/spreadsheetml/2006/main" count="500" uniqueCount="294">
  <si>
    <t>1. EQUIPE TÉCNICA DE EXECUÇÃO</t>
  </si>
  <si>
    <t>Executante:</t>
  </si>
  <si>
    <t>CONSÓRCIO RODOVIA PR 317 IGUARAÇU MARINGÁ</t>
  </si>
  <si>
    <t>Contrato:</t>
  </si>
  <si>
    <t>141 / 2025</t>
  </si>
  <si>
    <t>Rodovia:</t>
  </si>
  <si>
    <t>PR-317</t>
  </si>
  <si>
    <t>Relatório Nº:</t>
  </si>
  <si>
    <t>Trecho:</t>
  </si>
  <si>
    <t>DUPLICAÇÃO E RESTAURAÇÃO DA PISTA EXISTENTE DA RODOVIA PR-317, TRECHO IGUARAÇU–MARINGÁ</t>
  </si>
  <si>
    <t>Período de Referência:</t>
  </si>
  <si>
    <t>N.°</t>
  </si>
  <si>
    <t>Nome</t>
  </si>
  <si>
    <t>Função</t>
  </si>
  <si>
    <t>DANIEL DRAGO SANTANA</t>
  </si>
  <si>
    <t>AJUDANTE GERAL</t>
  </si>
  <si>
    <t>GUILHERME BREGUES DOS SANTOS</t>
  </si>
  <si>
    <t xml:space="preserve">LEONE JOAO RAIMUNDO </t>
  </si>
  <si>
    <t>ROBENILTON ALVES DOS SANTOS</t>
  </si>
  <si>
    <t>RODOLFO LUIZ DA ROCHA</t>
  </si>
  <si>
    <t>SIDNEI APARECIDO PEREIRA</t>
  </si>
  <si>
    <t>CLEITON MIGUEL DA CUNHA</t>
  </si>
  <si>
    <t>JESUINO GERALDO DOS ANJOS</t>
  </si>
  <si>
    <t>KAIQUE APARECIDO CUNHA HONORATO</t>
  </si>
  <si>
    <t>LEONARDO MOTA</t>
  </si>
  <si>
    <t>EVONIO CRISTIANO RODRIGUES FERREIRA</t>
  </si>
  <si>
    <t xml:space="preserve"> JANDERSON CESAR PEREIRA                                 ;                  </t>
  </si>
  <si>
    <t xml:space="preserve">DAVI DE JESUS LEAL   </t>
  </si>
  <si>
    <t>DILERNEI PEDROSO DOS SANTOS</t>
  </si>
  <si>
    <t xml:space="preserve">EDVALDO TRINDADE NASCIMENTO      </t>
  </si>
  <si>
    <t>FILIPE DA SILVA FREITAS DOS SANTOS</t>
  </si>
  <si>
    <t xml:space="preserve">HELIO ROBERTO DE OLIVEIRA </t>
  </si>
  <si>
    <t>MARCIO RAFAEL GOMES</t>
  </si>
  <si>
    <t>NILSON MOREIRA DE OLIVEIRA SOUZA</t>
  </si>
  <si>
    <t xml:space="preserve">ROMILDO DE LIMA ORTIZ </t>
  </si>
  <si>
    <t>JOSE AURI MARTINS MONTEIRO</t>
  </si>
  <si>
    <t xml:space="preserve"> AFONSO HENRIQUE FIGUEREDO SA                    ;                       ;                  </t>
  </si>
  <si>
    <t xml:space="preserve"> ANDERSON ALVES DOS SANTOS              </t>
  </si>
  <si>
    <t xml:space="preserve"> APARECIDO RAMOS MONTEIRO </t>
  </si>
  <si>
    <t xml:space="preserve">JOSE APARECIDO DE ALENCAR </t>
  </si>
  <si>
    <t xml:space="preserve">LUIZ ANTHONIO DA SILVA ALENCAR     </t>
  </si>
  <si>
    <t>PAULO MARTIMIANO APARECIDO DOS SANTOS  FAGUNDES</t>
  </si>
  <si>
    <t>EMERSON RYAN RODRUIGUES DA CONCEIÇÃO</t>
  </si>
  <si>
    <t>TIAGO DIONISIO DE ALMEIDA</t>
  </si>
  <si>
    <t xml:space="preserve">LEANDRO CELESTRINO MONTEIRO </t>
  </si>
  <si>
    <t xml:space="preserve">DIEGO DA SILVA MEDINA </t>
  </si>
  <si>
    <t>KAUE VINICIUS SILVA MARIANO</t>
  </si>
  <si>
    <t>SEBASTIAO DE SOUZA</t>
  </si>
  <si>
    <t>WESLLI DOS SANTOS LEAL SÁ</t>
  </si>
  <si>
    <t>HIDICLEVIO CONCEIÇÃO DE LIMA</t>
  </si>
  <si>
    <t>AGEU PEREIRA DA SILVA</t>
  </si>
  <si>
    <t>EDUARDO APARECIDO DE OLIVEIRA</t>
  </si>
  <si>
    <t>APONTADOR</t>
  </si>
  <si>
    <t>MATEUS SILVA DE SOUZA</t>
  </si>
  <si>
    <t xml:space="preserve">PAULO SERGIO CAZUZA JUNIOR </t>
  </si>
  <si>
    <t>VICTOR SENA MARIANO</t>
  </si>
  <si>
    <t>VALDINEI ESBRIGUE</t>
  </si>
  <si>
    <t>ARMADOR</t>
  </si>
  <si>
    <t>VALDIR ALVES DE OLIVEIRA</t>
  </si>
  <si>
    <t>JAILSON TENORIO DA SILVA</t>
  </si>
  <si>
    <t>ROGERIO NUNES DE OLIVEIRA</t>
  </si>
  <si>
    <t xml:space="preserve">JOSE FRANCISCO DOS SANTOS </t>
  </si>
  <si>
    <t xml:space="preserve">WASHGTON ANTUNES DE OLIVEIRA </t>
  </si>
  <si>
    <t>ISMAEL APARECIDO NOGUEIRA</t>
  </si>
  <si>
    <t>AUXILIAR DE LABORATÓRIO I</t>
  </si>
  <si>
    <t xml:space="preserve">JOSE CARLOS ROSALINO </t>
  </si>
  <si>
    <t>CALDERISTA</t>
  </si>
  <si>
    <t xml:space="preserve">NATALICIO DA SILVA AGUIAR </t>
  </si>
  <si>
    <t xml:space="preserve">AFONSO MORETTI SANCHEZ </t>
  </si>
  <si>
    <t>CARPINTEIRO</t>
  </si>
  <si>
    <t>ADENILTON BARRETO DE SOUZA</t>
  </si>
  <si>
    <t>EZEQUIEL DA BOAVENTURA</t>
  </si>
  <si>
    <t>FERNANDO AUGUSTO MIRA DOS SANTOS</t>
  </si>
  <si>
    <t>JOSE NILTON APARECIDO HONORATO</t>
  </si>
  <si>
    <t xml:space="preserve"> MARCOS MARCELINO  </t>
  </si>
  <si>
    <t xml:space="preserve">JOSE CARLOS LIMA PAZ                             </t>
  </si>
  <si>
    <t xml:space="preserve"> JOSE ROBERTO DOS SANTOS    </t>
  </si>
  <si>
    <t xml:space="preserve">BENEDITA SUELI ALVES DE SOUSA </t>
  </si>
  <si>
    <t>COMPRADOR</t>
  </si>
  <si>
    <t>GILMAR GRISON</t>
  </si>
  <si>
    <t>ENCARREGADA DE RH</t>
  </si>
  <si>
    <t>VITALINO FRANCISCO DE PAULA</t>
  </si>
  <si>
    <t>ENCARREGADO DE LABORATORIO</t>
  </si>
  <si>
    <t>SIDNEI FARIAS GUIMARAES</t>
  </si>
  <si>
    <t xml:space="preserve">ENCARREGADO DE OBRA DE ARTE </t>
  </si>
  <si>
    <t xml:space="preserve">JAIME BARBOSA DA SILVA </t>
  </si>
  <si>
    <t xml:space="preserve">ENCARREGADO DE PAVIMENTACAO II </t>
  </si>
  <si>
    <t xml:space="preserve">RICARDO DE JESUS RAPHAEL </t>
  </si>
  <si>
    <t>ENCARREGADO DE PRODUÇÃO</t>
  </si>
  <si>
    <t xml:space="preserve">GILDO RIBEIRO </t>
  </si>
  <si>
    <t xml:space="preserve">ENCARREGADO DE TERRAPLENAGEM </t>
  </si>
  <si>
    <t xml:space="preserve">TAROMEDES FRIMOS DOS SANTOS </t>
  </si>
  <si>
    <t>ENCARREGADO GERAL DE OBRAS</t>
  </si>
  <si>
    <t xml:space="preserve">EDIVALDO ROSALINO </t>
  </si>
  <si>
    <t xml:space="preserve">ENCARREGADO UNIDADE INDUSTIRAL </t>
  </si>
  <si>
    <t>EDERALDO ANTONIO TEODORO</t>
  </si>
  <si>
    <t>FEITOR DE ARMAÇÃO</t>
  </si>
  <si>
    <t>CACIANO BARBOSA DOS SANTOS</t>
  </si>
  <si>
    <t>FEITOR DE BRITAGEM</t>
  </si>
  <si>
    <t>CLEBERSON FELIX DE OLIVEIRA</t>
  </si>
  <si>
    <t>FEITOR DE CARPINTARIA</t>
  </si>
  <si>
    <t>LUCIANO RODRIGUES DE AZEVEDO</t>
  </si>
  <si>
    <t>ALECIO MARTINS</t>
  </si>
  <si>
    <t>FEITOR DE SERVIÇOS GERAIS</t>
  </si>
  <si>
    <t>EMERSON LOPES MAXIMIANO</t>
  </si>
  <si>
    <t>FEITOR OAE</t>
  </si>
  <si>
    <t>HELIO NUNES DA SILVA</t>
  </si>
  <si>
    <t xml:space="preserve">FAGNER DE  CARVALHO </t>
  </si>
  <si>
    <t>LABORATORISTA I</t>
  </si>
  <si>
    <t>CLEBER MATIAS</t>
  </si>
  <si>
    <t>LABORATORISTA II</t>
  </si>
  <si>
    <t>JOSE HENRIQUE ALVES DA SILVA</t>
  </si>
  <si>
    <t>LUBRIFICADOR I</t>
  </si>
  <si>
    <t>BRUNO CESAR OLIVEIRA DE ANDRADE</t>
  </si>
  <si>
    <t>RODNEY PEREIRA SOARES</t>
  </si>
  <si>
    <t>MOTORISTA CAMINHAO BETONEIRA</t>
  </si>
  <si>
    <t xml:space="preserve">CARLOS ROBERTO DA CUNHA   </t>
  </si>
  <si>
    <t>ALEXANDRO LOPES DE SOUZA</t>
  </si>
  <si>
    <t>JOSE CARLOS FERRER MAGAROTE</t>
  </si>
  <si>
    <t>MOTORISTA COMBOIO</t>
  </si>
  <si>
    <t>RODRIGO MAURICIO BARRETO</t>
  </si>
  <si>
    <t>MOTORISTA DE CAMINHÃO BASCULANTE I</t>
  </si>
  <si>
    <t xml:space="preserve">FABRICIO SOUZA MOREIRA                  </t>
  </si>
  <si>
    <t xml:space="preserve"> ADALBERTO SANTOS VIEIRA              </t>
  </si>
  <si>
    <t>DEOVANI TEODORO DA SILVA</t>
  </si>
  <si>
    <t>ISMAEL VICENTE DE SOUZA</t>
  </si>
  <si>
    <t>ADEMIR APARECIDO BARBOSA</t>
  </si>
  <si>
    <t>CARLOS ALBERTO BATISTA DOS SANTOS SILVA</t>
  </si>
  <si>
    <t>GERSON DE SOUZA</t>
  </si>
  <si>
    <t xml:space="preserve">JUCELIO NASCIMENTO DOS SANTOS </t>
  </si>
  <si>
    <t>MARCOS ROBERTO ZAVATINI</t>
  </si>
  <si>
    <t>MAURO ITO</t>
  </si>
  <si>
    <t xml:space="preserve">NATALINO RODRIGUES </t>
  </si>
  <si>
    <t xml:space="preserve">OSMARIO TIBURCIO DOS SANTOS </t>
  </si>
  <si>
    <t>RICARDO ROGERIO DOS SANTOS</t>
  </si>
  <si>
    <t>ANTONIO SEBASTIAO DELFINO</t>
  </si>
  <si>
    <t>MOTORISTA DE CAMINHÃO I</t>
  </si>
  <si>
    <t>JONES DE SOUZA</t>
  </si>
  <si>
    <t>ELIAS MANZANA GARCIA</t>
  </si>
  <si>
    <t>LUIZ FERNANDO RODRIGUES DE OLIVEIRA</t>
  </si>
  <si>
    <t xml:space="preserve">FRANCISCO PORTERO IGALZI </t>
  </si>
  <si>
    <t>MARCIO MARTINS</t>
  </si>
  <si>
    <t>PAULO APARECIDO STIN</t>
  </si>
  <si>
    <t xml:space="preserve">JOSE ROBERTO DA SILVA NETO  </t>
  </si>
  <si>
    <t>MOTORISTA DE CAMINHAO PIPA</t>
  </si>
  <si>
    <t>ELIAS GOMES LUCIO</t>
  </si>
  <si>
    <t>MOTORISTA ESPARGIDOR</t>
  </si>
  <si>
    <t xml:space="preserve">JERFFERSON EUDES LIMA MOREIRA </t>
  </si>
  <si>
    <t xml:space="preserve">OP. DE MAQUINAS IV </t>
  </si>
  <si>
    <t>LUCAS DA SILVA ARAUJO</t>
  </si>
  <si>
    <t>LUIZ CARLOS DE LIVIO</t>
  </si>
  <si>
    <t>MESSIAS JOSE DA SILVA</t>
  </si>
  <si>
    <t>OP. DE MOTONIVELADORA</t>
  </si>
  <si>
    <t xml:space="preserve">FABIO PAULO DOS SANTOS </t>
  </si>
  <si>
    <t>OP.MAQUINAS PESADAS VII</t>
  </si>
  <si>
    <t xml:space="preserve">JORGE ALBERONE DOS SANTOS </t>
  </si>
  <si>
    <t>OPERADOR DE BOMBA DE CONCRETO</t>
  </si>
  <si>
    <t xml:space="preserve">WELITON CLARETT LUCIO </t>
  </si>
  <si>
    <t>CLEVERTON BARBOSA DOS SANTOS</t>
  </si>
  <si>
    <t>OPERADOR DE BRITAGEM</t>
  </si>
  <si>
    <t>JOAO PESSOA DE ALMEIDA</t>
  </si>
  <si>
    <t>OPERADOR DE BRITAGEM II</t>
  </si>
  <si>
    <t>ROBISLEI RIBEIRO CARVALHO</t>
  </si>
  <si>
    <t xml:space="preserve">OPERADOR DE ESCAVADEIRA </t>
  </si>
  <si>
    <t xml:space="preserve">RITHER DA SILVA BERNARDES  </t>
  </si>
  <si>
    <t xml:space="preserve">OPERADOR DE ESPARGIDOR </t>
  </si>
  <si>
    <t>EURIDES COQUEIRO DA COSTA</t>
  </si>
  <si>
    <t>OPERADOR DE MAQUINAS</t>
  </si>
  <si>
    <t>JOSE HELIO DE SANTANA</t>
  </si>
  <si>
    <t>GILMAR RIBEIRO</t>
  </si>
  <si>
    <t>OPERADOR DE MAQUINAS II</t>
  </si>
  <si>
    <t>SEBASTIAO DE ANDRADE</t>
  </si>
  <si>
    <t xml:space="preserve"> CICERO LOPES              </t>
  </si>
  <si>
    <t>CARLOS APARECIDO DE MELO NASCIMENTO</t>
  </si>
  <si>
    <t>OPERADOR DE MAQUINAS V</t>
  </si>
  <si>
    <t>HAMILTON FRANCISCO DA COSTA</t>
  </si>
  <si>
    <t>OPERADOR DE MÁQUINAS I (ROLO)</t>
  </si>
  <si>
    <t xml:space="preserve">BRUNO ENRIQUE MEIRA </t>
  </si>
  <si>
    <t>MAURO SERGIO APARECIDO DA SILVA</t>
  </si>
  <si>
    <t>CLAUDEIR BREGUES DOS SANTOS</t>
  </si>
  <si>
    <t>OPERADOR DE MÁQUINAS PESADAS IV</t>
  </si>
  <si>
    <t>EDILSON MESSIAS DA CRUZ</t>
  </si>
  <si>
    <t>GILMAR PAES DOS SANTOS</t>
  </si>
  <si>
    <t>PEDREIRO</t>
  </si>
  <si>
    <t>JOSE CARLOS MEDEIROS DA SILVA</t>
  </si>
  <si>
    <t>VAGNER TEIXEIRA</t>
  </si>
  <si>
    <t xml:space="preserve">VALTER SIDINEI CASSIANO </t>
  </si>
  <si>
    <t>JOAO APARECIDO DA SILVA</t>
  </si>
  <si>
    <t xml:space="preserve">MARCELO BATISTA DA SILVA </t>
  </si>
  <si>
    <t xml:space="preserve"> MARCELO GOMES DE OLIVEIRA         </t>
  </si>
  <si>
    <t xml:space="preserve">ANDRE VAREA ROSA             </t>
  </si>
  <si>
    <t>MARCOS FRANCISCO EBURNIO</t>
  </si>
  <si>
    <t>RASTELEIRO III</t>
  </si>
  <si>
    <t>ROGERIO DE PAULA</t>
  </si>
  <si>
    <t>WANDERSON VIEIRA DA SILVA</t>
  </si>
  <si>
    <t xml:space="preserve"> </t>
  </si>
  <si>
    <t>Relatório N:</t>
  </si>
  <si>
    <t xml:space="preserve">Equipamentos </t>
  </si>
  <si>
    <t>Quantidades</t>
  </si>
  <si>
    <t>Período Anterior</t>
  </si>
  <si>
    <t>Período Atual</t>
  </si>
  <si>
    <t>Mobilizado</t>
  </si>
  <si>
    <t>Desmobilizado</t>
  </si>
  <si>
    <t>CÓDIGO</t>
  </si>
  <si>
    <t>DESCRIÇÃO</t>
  </si>
  <si>
    <t xml:space="preserve"> MN 96</t>
  </si>
  <si>
    <t xml:space="preserve">MOTONIVELADORA </t>
  </si>
  <si>
    <t>SIM</t>
  </si>
  <si>
    <t xml:space="preserve"> MN 107 </t>
  </si>
  <si>
    <t xml:space="preserve"> CP 19</t>
  </si>
  <si>
    <t xml:space="preserve">CAMINHÃO PIPA </t>
  </si>
  <si>
    <t xml:space="preserve"> CP 120</t>
  </si>
  <si>
    <t xml:space="preserve"> RV 25</t>
  </si>
  <si>
    <t xml:space="preserve">ROLO CORRUGADO </t>
  </si>
  <si>
    <t xml:space="preserve"> RV 30</t>
  </si>
  <si>
    <t xml:space="preserve">ROLO CHAPA  </t>
  </si>
  <si>
    <t xml:space="preserve"> RV 57</t>
  </si>
  <si>
    <t xml:space="preserve">ROLO CHAPA </t>
  </si>
  <si>
    <t xml:space="preserve"> ES 138</t>
  </si>
  <si>
    <t xml:space="preserve">ESCAVADEIRA </t>
  </si>
  <si>
    <t xml:space="preserve"> ES 136</t>
  </si>
  <si>
    <t>ESCAVADEIRA</t>
  </si>
  <si>
    <t xml:space="preserve"> RP 32</t>
  </si>
  <si>
    <t xml:space="preserve">ROLO PNEU </t>
  </si>
  <si>
    <t xml:space="preserve"> RP 26</t>
  </si>
  <si>
    <t xml:space="preserve"> VA 17</t>
  </si>
  <si>
    <t xml:space="preserve">ACABADORA </t>
  </si>
  <si>
    <t xml:space="preserve"> RTD 22</t>
  </si>
  <si>
    <t>--</t>
  </si>
  <si>
    <t>ROLO 2 CHAPAS</t>
  </si>
  <si>
    <t>CL-20</t>
  </si>
  <si>
    <t>CAMINHÃO COMBOIO</t>
  </si>
  <si>
    <t>CFP 51</t>
  </si>
  <si>
    <t>CAMINHÃO SINALIZAÇÃO</t>
  </si>
  <si>
    <t>MCA 0016</t>
  </si>
  <si>
    <t>MINI CARREGADEIRA</t>
  </si>
  <si>
    <t>RP 10</t>
  </si>
  <si>
    <t>TE 57</t>
  </si>
  <si>
    <t>TRATOR ESTEIRA</t>
  </si>
  <si>
    <t>TP71/GD57</t>
  </si>
  <si>
    <t>TRATOR AGRICULA COM GRADE</t>
  </si>
  <si>
    <t>RT21/RV38</t>
  </si>
  <si>
    <t xml:space="preserve">ROLO TI </t>
  </si>
  <si>
    <t>RV 38</t>
  </si>
  <si>
    <t>PC 97</t>
  </si>
  <si>
    <t>PÁ CARREGADEIRA</t>
  </si>
  <si>
    <t>PC 120</t>
  </si>
  <si>
    <t>ES 89</t>
  </si>
  <si>
    <t>ESCAVADEIRA COM ROMPEDOR</t>
  </si>
  <si>
    <t>ES 84</t>
  </si>
  <si>
    <t>CBM 297</t>
  </si>
  <si>
    <t>CAMINHÃO BASCULANTE</t>
  </si>
  <si>
    <t>CBM 296</t>
  </si>
  <si>
    <t>CBM 275</t>
  </si>
  <si>
    <t>CBM 293</t>
  </si>
  <si>
    <t>CBM 103</t>
  </si>
  <si>
    <t>CBM 102</t>
  </si>
  <si>
    <t>CBM 104</t>
  </si>
  <si>
    <t>CBM 292</t>
  </si>
  <si>
    <t>CBM 279</t>
  </si>
  <si>
    <t>CBM 280</t>
  </si>
  <si>
    <t>CBM 298</t>
  </si>
  <si>
    <t>N.° - RNF</t>
  </si>
  <si>
    <t>Ação Corretiva</t>
  </si>
  <si>
    <t>Habilitação</t>
  </si>
  <si>
    <t>Implementação</t>
  </si>
  <si>
    <t>Não Implementada</t>
  </si>
  <si>
    <t>Sim</t>
  </si>
  <si>
    <t>Não</t>
  </si>
  <si>
    <t>QuantidadeTotal de Ação Corretiva</t>
  </si>
  <si>
    <t>Quantidade Total de Ação Corretiva Implementada</t>
  </si>
  <si>
    <t>Quantidade Total de Ação Corretiva Eficaz</t>
  </si>
  <si>
    <t>Comentários:</t>
  </si>
  <si>
    <t>Contrato</t>
  </si>
  <si>
    <t>Mês:</t>
  </si>
  <si>
    <t>COMENTÁRIOS</t>
  </si>
  <si>
    <t>Dia</t>
  </si>
  <si>
    <t>Período</t>
  </si>
  <si>
    <t>Precipitação (mm)</t>
  </si>
  <si>
    <t>Manhã</t>
  </si>
  <si>
    <t>Tarde</t>
  </si>
  <si>
    <t>Noite</t>
  </si>
  <si>
    <t>Precipitação Total no Período</t>
  </si>
  <si>
    <t>Precipitação Acum. no Período Anterior</t>
  </si>
  <si>
    <t>Precipitação Total Acumulada</t>
  </si>
  <si>
    <t>Início da obra: 19/08/2025</t>
  </si>
  <si>
    <t>TOTAL</t>
  </si>
  <si>
    <t>total mês</t>
  </si>
  <si>
    <t>Mês</t>
  </si>
  <si>
    <t>Total (mm)</t>
  </si>
  <si>
    <t>Total Anterior</t>
  </si>
  <si>
    <t>Dias Prát.</t>
  </si>
  <si>
    <t>Dias c/ chuva</t>
  </si>
  <si>
    <t>Dias Imprát.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</si>
</sst>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"/>
    <numFmt numFmtId="165" formatCode="[$-416]mmmm\-yy;@"/>
    <numFmt numFmtId="166" formatCode="dd/mm/yy"/>
    <numFmt numFmtId="167" formatCode="[$-416]mmm\-yy;@"/>
    <numFmt numFmtId="168" formatCode="dd/mm/yy;@"/>
    <numFmt numFmtId="169" formatCode="#,##0.0_ ;\-#,##0.0\ "/>
    <numFmt numFmtId="170" formatCode="0.0"/>
    <numFmt numFmtId="171" formatCode="#,##0.00&quot;mm&quot;"/>
  </numFmts>
  <fonts count="1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name val="Aptos Narrow"/>
      <family val="2"/>
      <scheme val="minor"/>
    </font>
    <font>
      <sz val="1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8"/>
      <name val="Arial"/>
      <family val="2"/>
    </font>
    <font>
      <b/>
      <sz val="10"/>
      <color indexed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76">
    <border>
      <left/>
      <right/>
      <top/>
      <bottom/>
      <diagonal/>
    </border>
    <border>
      <left style="medium">
        <color rgb="FF008000"/>
      </left>
      <right/>
      <top style="medium">
        <color rgb="FF008000"/>
      </top>
      <bottom/>
      <diagonal/>
    </border>
    <border>
      <left/>
      <right/>
      <top style="medium">
        <color rgb="FF008000"/>
      </top>
      <bottom/>
      <diagonal/>
    </border>
    <border>
      <left/>
      <right style="medium">
        <color rgb="FF008000"/>
      </right>
      <top style="medium">
        <color rgb="FF008000"/>
      </top>
      <bottom/>
      <diagonal/>
    </border>
    <border>
      <left style="medium">
        <color rgb="FF008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8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8000"/>
      </left>
      <right/>
      <top/>
      <bottom style="medium">
        <color rgb="FF008000"/>
      </bottom>
      <diagonal/>
    </border>
    <border>
      <left/>
      <right/>
      <top/>
      <bottom style="medium">
        <color rgb="FF008000"/>
      </bottom>
      <diagonal/>
    </border>
    <border>
      <left/>
      <right style="medium">
        <color rgb="FF008000"/>
      </right>
      <top/>
      <bottom style="medium">
        <color rgb="FF008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thick">
        <color rgb="FF008000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15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2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vertical="center" wrapText="1"/>
    </xf>
    <xf numFmtId="0" fontId="1" fillId="0" borderId="10" xfId="1" applyBorder="1"/>
    <xf numFmtId="0" fontId="2" fillId="0" borderId="0" xfId="1" applyFont="1" applyAlignment="1">
      <alignment horizontal="center" vertical="center" wrapText="1"/>
    </xf>
    <xf numFmtId="0" fontId="3" fillId="0" borderId="10" xfId="1" applyFont="1" applyBorder="1" applyAlignment="1">
      <alignment vertical="center" wrapText="1"/>
    </xf>
    <xf numFmtId="0" fontId="1" fillId="0" borderId="11" xfId="1" applyBorder="1"/>
    <xf numFmtId="0" fontId="3" fillId="0" borderId="13" xfId="1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1" fillId="0" borderId="6" xfId="1" applyBorder="1" applyAlignment="1">
      <alignment horizontal="right"/>
    </xf>
    <xf numFmtId="0" fontId="1" fillId="0" borderId="7" xfId="1" applyBorder="1" applyAlignment="1">
      <alignment horizontal="left"/>
    </xf>
    <xf numFmtId="164" fontId="1" fillId="0" borderId="0" xfId="1" applyNumberFormat="1" applyAlignment="1">
      <alignment horizontal="center"/>
    </xf>
    <xf numFmtId="164" fontId="1" fillId="0" borderId="0" xfId="1" applyNumberFormat="1" applyAlignment="1">
      <alignment horizontal="right"/>
    </xf>
    <xf numFmtId="164" fontId="1" fillId="0" borderId="10" xfId="1" applyNumberFormat="1" applyBorder="1" applyAlignment="1">
      <alignment horizontal="left"/>
    </xf>
    <xf numFmtId="0" fontId="1" fillId="0" borderId="11" xfId="1" applyBorder="1" applyAlignment="1">
      <alignment vertical="top"/>
    </xf>
    <xf numFmtId="0" fontId="1" fillId="0" borderId="12" xfId="1" applyBorder="1"/>
    <xf numFmtId="165" fontId="4" fillId="0" borderId="12" xfId="0" applyNumberFormat="1" applyFont="1" applyBorder="1" applyAlignment="1">
      <alignment horizontal="right" vertical="top"/>
    </xf>
    <xf numFmtId="165" fontId="4" fillId="0" borderId="13" xfId="0" applyNumberFormat="1" applyFont="1" applyBorder="1" applyAlignment="1">
      <alignment horizontal="left" vertical="top"/>
    </xf>
    <xf numFmtId="0" fontId="1" fillId="0" borderId="16" xfId="1" applyBorder="1" applyAlignment="1">
      <alignment horizontal="center"/>
    </xf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0" xfId="1" applyAlignment="1">
      <alignment vertical="center"/>
    </xf>
    <xf numFmtId="0" fontId="5" fillId="0" borderId="0" xfId="0" applyFont="1"/>
    <xf numFmtId="0" fontId="1" fillId="0" borderId="22" xfId="1" applyBorder="1" applyAlignment="1">
      <alignment horizontal="center"/>
    </xf>
    <xf numFmtId="0" fontId="1" fillId="0" borderId="23" xfId="1" applyBorder="1"/>
    <xf numFmtId="0" fontId="1" fillId="0" borderId="24" xfId="1" applyBorder="1"/>
    <xf numFmtId="0" fontId="1" fillId="0" borderId="25" xfId="1" applyBorder="1"/>
    <xf numFmtId="0" fontId="1" fillId="0" borderId="26" xfId="1" applyBorder="1"/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1" fillId="0" borderId="29" xfId="1" applyBorder="1"/>
    <xf numFmtId="0" fontId="1" fillId="0" borderId="30" xfId="1" applyBorder="1"/>
    <xf numFmtId="0" fontId="1" fillId="0" borderId="31" xfId="1" applyBorder="1"/>
    <xf numFmtId="0" fontId="1" fillId="0" borderId="32" xfId="1" applyBorder="1"/>
    <xf numFmtId="0" fontId="1" fillId="0" borderId="33" xfId="1" applyBorder="1"/>
    <xf numFmtId="0" fontId="6" fillId="0" borderId="11" xfId="1" applyFont="1" applyBorder="1" applyAlignment="1">
      <alignment vertical="center"/>
    </xf>
    <xf numFmtId="0" fontId="6" fillId="0" borderId="12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1" fillId="0" borderId="34" xfId="1" applyBorder="1"/>
    <xf numFmtId="0" fontId="1" fillId="0" borderId="35" xfId="1" applyBorder="1"/>
    <xf numFmtId="0" fontId="1" fillId="0" borderId="35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17" xfId="0" applyFont="1" applyBorder="1" applyAlignment="1">
      <alignment vertical="center" readingOrder="1"/>
    </xf>
    <xf numFmtId="0" fontId="1" fillId="0" borderId="38" xfId="1" applyBorder="1" applyAlignment="1">
      <alignment horizontal="center"/>
    </xf>
    <xf numFmtId="0" fontId="1" fillId="0" borderId="23" xfId="0" applyFont="1" applyBorder="1" applyAlignment="1">
      <alignment vertical="center" readingOrder="1"/>
    </xf>
    <xf numFmtId="0" fontId="1" fillId="0" borderId="39" xfId="1" applyBorder="1" applyAlignment="1">
      <alignment horizontal="center"/>
    </xf>
    <xf numFmtId="0" fontId="1" fillId="0" borderId="29" xfId="0" applyFont="1" applyBorder="1" applyAlignment="1">
      <alignment vertical="center" readingOrder="1"/>
    </xf>
    <xf numFmtId="49" fontId="1" fillId="2" borderId="40" xfId="0" applyNumberFormat="1" applyFont="1" applyFill="1" applyBorder="1" applyAlignment="1">
      <alignment horizontal="left" vertical="center" readingOrder="1"/>
    </xf>
    <xf numFmtId="0" fontId="1" fillId="2" borderId="40" xfId="0" applyFont="1" applyFill="1" applyBorder="1" applyAlignment="1">
      <alignment horizontal="left" vertical="center" readingOrder="1"/>
    </xf>
    <xf numFmtId="0" fontId="1" fillId="0" borderId="40" xfId="2" applyBorder="1" applyAlignment="1">
      <alignment horizontal="left" vertical="center"/>
    </xf>
    <xf numFmtId="0" fontId="1" fillId="0" borderId="40" xfId="0" applyFont="1" applyBorder="1" applyAlignment="1">
      <alignment horizontal="left" vertical="center" readingOrder="1"/>
    </xf>
    <xf numFmtId="0" fontId="1" fillId="0" borderId="40" xfId="2" applyBorder="1" applyAlignment="1">
      <alignment horizontal="left" vertical="center" readingOrder="1"/>
    </xf>
    <xf numFmtId="0" fontId="7" fillId="0" borderId="40" xfId="0" applyFont="1" applyBorder="1" applyAlignment="1">
      <alignment horizontal="left"/>
    </xf>
    <xf numFmtId="0" fontId="1" fillId="2" borderId="40" xfId="2" applyFill="1" applyBorder="1" applyAlignment="1">
      <alignment horizontal="left" vertical="center" readingOrder="1"/>
    </xf>
    <xf numFmtId="0" fontId="1" fillId="2" borderId="40" xfId="2" applyFill="1" applyBorder="1" applyAlignment="1">
      <alignment horizontal="left" vertical="center"/>
    </xf>
    <xf numFmtId="49" fontId="1" fillId="0" borderId="40" xfId="0" applyNumberFormat="1" applyFont="1" applyBorder="1" applyAlignment="1">
      <alignment horizontal="left" vertical="center" readingOrder="1"/>
    </xf>
    <xf numFmtId="0" fontId="0" fillId="2" borderId="40" xfId="0" applyFill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2" borderId="40" xfId="0" applyFont="1" applyFill="1" applyBorder="1" applyAlignment="1">
      <alignment horizontal="left" vertical="center"/>
    </xf>
    <xf numFmtId="0" fontId="7" fillId="2" borderId="40" xfId="0" applyFont="1" applyFill="1" applyBorder="1" applyAlignment="1">
      <alignment horizontal="left"/>
    </xf>
    <xf numFmtId="0" fontId="1" fillId="0" borderId="2" xfId="1" applyBorder="1" applyAlignment="1">
      <alignment horizontal="center"/>
    </xf>
    <xf numFmtId="0" fontId="1" fillId="0" borderId="6" xfId="1" applyBorder="1" applyAlignment="1">
      <alignment horizontal="center"/>
    </xf>
    <xf numFmtId="0" fontId="3" fillId="0" borderId="10" xfId="1" applyFont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 applyAlignment="1">
      <alignment horizontal="right"/>
    </xf>
    <xf numFmtId="0" fontId="1" fillId="0" borderId="12" xfId="1" applyBorder="1" applyAlignment="1">
      <alignment horizontal="right" vertical="top"/>
    </xf>
    <xf numFmtId="165" fontId="1" fillId="0" borderId="13" xfId="1" applyNumberFormat="1" applyBorder="1" applyAlignment="1">
      <alignment horizontal="left" vertical="top"/>
    </xf>
    <xf numFmtId="0" fontId="1" fillId="0" borderId="12" xfId="1" applyBorder="1" applyAlignment="1">
      <alignment horizontal="center"/>
    </xf>
    <xf numFmtId="0" fontId="6" fillId="3" borderId="44" xfId="1" applyFont="1" applyFill="1" applyBorder="1" applyAlignment="1">
      <alignment horizontal="center" vertical="center"/>
    </xf>
    <xf numFmtId="0" fontId="1" fillId="0" borderId="16" xfId="1" applyBorder="1" applyAlignment="1">
      <alignment vertical="center"/>
    </xf>
    <xf numFmtId="0" fontId="1" fillId="3" borderId="24" xfId="1" applyFill="1" applyBorder="1" applyAlignment="1">
      <alignment vertical="center"/>
    </xf>
    <xf numFmtId="0" fontId="1" fillId="3" borderId="18" xfId="1" applyFill="1" applyBorder="1" applyAlignment="1">
      <alignment vertical="center"/>
    </xf>
    <xf numFmtId="0" fontId="1" fillId="3" borderId="19" xfId="1" applyFill="1" applyBorder="1" applyAlignment="1">
      <alignment vertical="center"/>
    </xf>
    <xf numFmtId="0" fontId="1" fillId="3" borderId="46" xfId="1" applyFill="1" applyBorder="1" applyAlignment="1">
      <alignment horizontal="center" vertical="center"/>
    </xf>
    <xf numFmtId="0" fontId="1" fillId="3" borderId="0" xfId="1" applyFill="1" applyAlignment="1">
      <alignment horizontal="center"/>
    </xf>
    <xf numFmtId="39" fontId="1" fillId="0" borderId="46" xfId="1" applyNumberFormat="1" applyBorder="1" applyAlignment="1">
      <alignment horizontal="center" vertical="center"/>
    </xf>
    <xf numFmtId="39" fontId="1" fillId="0" borderId="47" xfId="1" applyNumberFormat="1" applyBorder="1" applyAlignment="1">
      <alignment horizontal="center" vertical="center"/>
    </xf>
    <xf numFmtId="0" fontId="1" fillId="0" borderId="22" xfId="1" applyBorder="1" applyAlignment="1">
      <alignment vertical="center"/>
    </xf>
    <xf numFmtId="0" fontId="1" fillId="3" borderId="25" xfId="1" applyFill="1" applyBorder="1" applyAlignment="1">
      <alignment vertical="center"/>
    </xf>
    <xf numFmtId="0" fontId="1" fillId="0" borderId="48" xfId="1" applyBorder="1" applyAlignment="1">
      <alignment horizontal="center" vertical="center"/>
    </xf>
    <xf numFmtId="39" fontId="1" fillId="0" borderId="49" xfId="1" applyNumberFormat="1" applyBorder="1" applyAlignment="1">
      <alignment horizontal="center" vertical="center"/>
    </xf>
    <xf numFmtId="0" fontId="1" fillId="3" borderId="48" xfId="1" applyFill="1" applyBorder="1" applyAlignment="1">
      <alignment horizontal="center"/>
    </xf>
    <xf numFmtId="0" fontId="1" fillId="0" borderId="22" xfId="1" quotePrefix="1" applyBorder="1" applyAlignment="1">
      <alignment vertical="center"/>
    </xf>
    <xf numFmtId="166" fontId="1" fillId="0" borderId="0" xfId="1" applyNumberFormat="1" applyAlignment="1">
      <alignment horizontal="center"/>
    </xf>
    <xf numFmtId="0" fontId="1" fillId="0" borderId="48" xfId="1" applyBorder="1" applyAlignment="1">
      <alignment horizontal="center"/>
    </xf>
    <xf numFmtId="0" fontId="1" fillId="3" borderId="48" xfId="1" applyFill="1" applyBorder="1" applyAlignment="1">
      <alignment horizontal="center" vertical="center"/>
    </xf>
    <xf numFmtId="14" fontId="1" fillId="3" borderId="48" xfId="1" applyNumberFormat="1" applyFill="1" applyBorder="1" applyAlignment="1">
      <alignment horizontal="center" vertical="center"/>
    </xf>
    <xf numFmtId="0" fontId="1" fillId="0" borderId="28" xfId="1" applyBorder="1" applyAlignment="1">
      <alignment vertical="center"/>
    </xf>
    <xf numFmtId="0" fontId="1" fillId="3" borderId="32" xfId="1" applyFill="1" applyBorder="1" applyAlignment="1">
      <alignment vertical="center"/>
    </xf>
    <xf numFmtId="0" fontId="1" fillId="3" borderId="50" xfId="1" applyFill="1" applyBorder="1" applyAlignment="1">
      <alignment vertical="center"/>
    </xf>
    <xf numFmtId="0" fontId="1" fillId="0" borderId="51" xfId="1" applyBorder="1" applyAlignment="1">
      <alignment horizontal="center" vertical="center"/>
    </xf>
    <xf numFmtId="0" fontId="1" fillId="3" borderId="51" xfId="1" applyFill="1" applyBorder="1" applyAlignment="1">
      <alignment horizontal="center" vertical="center"/>
    </xf>
    <xf numFmtId="39" fontId="1" fillId="0" borderId="51" xfId="1" applyNumberFormat="1" applyBorder="1" applyAlignment="1">
      <alignment horizontal="center" vertical="center"/>
    </xf>
    <xf numFmtId="39" fontId="1" fillId="0" borderId="52" xfId="1" applyNumberFormat="1" applyBorder="1" applyAlignment="1">
      <alignment horizontal="center" vertical="center"/>
    </xf>
    <xf numFmtId="0" fontId="1" fillId="0" borderId="13" xfId="1" applyBorder="1"/>
    <xf numFmtId="0" fontId="1" fillId="0" borderId="36" xfId="1" applyBorder="1"/>
    <xf numFmtId="0" fontId="1" fillId="3" borderId="22" xfId="1" applyFill="1" applyBorder="1" applyAlignment="1">
      <alignment vertical="center"/>
    </xf>
    <xf numFmtId="16" fontId="1" fillId="3" borderId="48" xfId="1" applyNumberFormat="1" applyFill="1" applyBorder="1" applyAlignment="1">
      <alignment horizontal="center" vertical="center"/>
    </xf>
    <xf numFmtId="39" fontId="1" fillId="0" borderId="48" xfId="1" applyNumberFormat="1" applyBorder="1" applyAlignment="1">
      <alignment horizontal="center" vertical="center"/>
    </xf>
    <xf numFmtId="0" fontId="1" fillId="3" borderId="38" xfId="1" applyFill="1" applyBorder="1" applyAlignment="1">
      <alignment vertical="center"/>
    </xf>
    <xf numFmtId="39" fontId="1" fillId="3" borderId="48" xfId="1" applyNumberFormat="1" applyFill="1" applyBorder="1" applyAlignment="1">
      <alignment horizontal="center" vertical="center"/>
    </xf>
    <xf numFmtId="0" fontId="1" fillId="0" borderId="12" xfId="1" applyBorder="1" applyAlignment="1">
      <alignment vertical="top"/>
    </xf>
    <xf numFmtId="0" fontId="1" fillId="0" borderId="58" xfId="1" applyBorder="1" applyAlignment="1">
      <alignment horizontal="center" vertical="center"/>
    </xf>
    <xf numFmtId="0" fontId="1" fillId="0" borderId="62" xfId="1" applyBorder="1" applyAlignment="1">
      <alignment horizontal="center" vertical="center"/>
    </xf>
    <xf numFmtId="0" fontId="1" fillId="0" borderId="63" xfId="1" applyBorder="1" applyAlignment="1">
      <alignment horizontal="center" vertical="center"/>
    </xf>
    <xf numFmtId="0" fontId="1" fillId="0" borderId="4" xfId="1" applyBorder="1" applyAlignment="1">
      <alignment vertical="center"/>
    </xf>
    <xf numFmtId="0" fontId="6" fillId="0" borderId="9" xfId="1" applyFont="1" applyBorder="1" applyAlignment="1">
      <alignment vertical="center"/>
    </xf>
    <xf numFmtId="0" fontId="6" fillId="0" borderId="10" xfId="1" applyFont="1" applyBorder="1" applyAlignment="1">
      <alignment vertical="center"/>
    </xf>
    <xf numFmtId="0" fontId="1" fillId="0" borderId="8" xfId="1" applyBorder="1" applyAlignment="1">
      <alignment vertical="center"/>
    </xf>
    <xf numFmtId="0" fontId="10" fillId="0" borderId="9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6" fillId="0" borderId="5" xfId="1" applyFont="1" applyBorder="1"/>
    <xf numFmtId="0" fontId="11" fillId="0" borderId="9" xfId="1" applyFont="1" applyBorder="1"/>
    <xf numFmtId="0" fontId="11" fillId="0" borderId="11" xfId="1" applyFont="1" applyBorder="1"/>
    <xf numFmtId="0" fontId="1" fillId="0" borderId="64" xfId="1" applyBorder="1"/>
    <xf numFmtId="0" fontId="1" fillId="0" borderId="65" xfId="1" applyBorder="1"/>
    <xf numFmtId="0" fontId="1" fillId="0" borderId="66" xfId="1" applyBorder="1"/>
    <xf numFmtId="0" fontId="1" fillId="0" borderId="67" xfId="1" applyBorder="1"/>
    <xf numFmtId="0" fontId="1" fillId="0" borderId="7" xfId="1" applyBorder="1" applyAlignment="1">
      <alignment horizontal="center"/>
    </xf>
    <xf numFmtId="0" fontId="1" fillId="0" borderId="68" xfId="1" applyBorder="1"/>
    <xf numFmtId="0" fontId="1" fillId="0" borderId="10" xfId="1" applyBorder="1" applyAlignment="1">
      <alignment horizontal="center"/>
    </xf>
    <xf numFmtId="0" fontId="1" fillId="0" borderId="13" xfId="1" applyBorder="1" applyAlignment="1">
      <alignment horizontal="center"/>
    </xf>
    <xf numFmtId="0" fontId="3" fillId="0" borderId="0" xfId="1" applyFont="1" applyAlignment="1">
      <alignment horizontal="center" vertical="center" wrapText="1"/>
    </xf>
    <xf numFmtId="0" fontId="1" fillId="0" borderId="6" xfId="1" applyBorder="1" applyAlignment="1">
      <alignment horizontal="left"/>
    </xf>
    <xf numFmtId="164" fontId="1" fillId="0" borderId="0" xfId="1" applyNumberFormat="1" applyAlignment="1">
      <alignment horizontal="left"/>
    </xf>
    <xf numFmtId="165" fontId="1" fillId="0" borderId="12" xfId="1" applyNumberFormat="1" applyBorder="1" applyAlignment="1">
      <alignment horizontal="left" vertical="top"/>
    </xf>
    <xf numFmtId="167" fontId="1" fillId="0" borderId="0" xfId="1" applyNumberFormat="1"/>
    <xf numFmtId="0" fontId="3" fillId="0" borderId="5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6" fillId="0" borderId="41" xfId="1" applyFont="1" applyBorder="1" applyAlignment="1">
      <alignment vertical="center"/>
    </xf>
    <xf numFmtId="165" fontId="1" fillId="0" borderId="42" xfId="1" applyNumberFormat="1" applyBorder="1" applyAlignment="1">
      <alignment vertical="center"/>
    </xf>
    <xf numFmtId="0" fontId="6" fillId="0" borderId="42" xfId="1" applyFont="1" applyBorder="1" applyAlignment="1">
      <alignment vertical="center"/>
    </xf>
    <xf numFmtId="0" fontId="3" fillId="0" borderId="42" xfId="1" applyFont="1" applyBorder="1" applyAlignment="1">
      <alignment vertical="center"/>
    </xf>
    <xf numFmtId="0" fontId="3" fillId="0" borderId="43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10" xfId="1" applyFont="1" applyBorder="1" applyAlignment="1">
      <alignment vertical="center"/>
    </xf>
    <xf numFmtId="0" fontId="12" fillId="0" borderId="48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9" fontId="1" fillId="0" borderId="0" xfId="1" applyNumberFormat="1"/>
    <xf numFmtId="9" fontId="1" fillId="0" borderId="5" xfId="1" applyNumberFormat="1" applyBorder="1"/>
    <xf numFmtId="9" fontId="1" fillId="0" borderId="6" xfId="1" applyNumberFormat="1" applyBorder="1"/>
    <xf numFmtId="9" fontId="1" fillId="0" borderId="7" xfId="1" applyNumberFormat="1" applyBorder="1"/>
    <xf numFmtId="168" fontId="1" fillId="0" borderId="0" xfId="1" applyNumberFormat="1"/>
    <xf numFmtId="169" fontId="1" fillId="0" borderId="0" xfId="1" applyNumberFormat="1"/>
    <xf numFmtId="168" fontId="14" fillId="0" borderId="22" xfId="0" applyNumberFormat="1" applyFont="1" applyBorder="1" applyAlignment="1">
      <alignment horizontal="center"/>
    </xf>
    <xf numFmtId="0" fontId="14" fillId="0" borderId="48" xfId="0" applyFont="1" applyBorder="1" applyAlignment="1">
      <alignment horizontal="center" vertical="top"/>
    </xf>
    <xf numFmtId="170" fontId="15" fillId="5" borderId="48" xfId="0" applyNumberFormat="1" applyFont="1" applyFill="1" applyBorder="1" applyAlignment="1">
      <alignment vertical="center"/>
    </xf>
    <xf numFmtId="169" fontId="1" fillId="0" borderId="26" xfId="1" applyNumberFormat="1" applyBorder="1" applyAlignment="1">
      <alignment horizontal="right"/>
    </xf>
    <xf numFmtId="0" fontId="16" fillId="0" borderId="0" xfId="1" applyFont="1"/>
    <xf numFmtId="9" fontId="1" fillId="0" borderId="9" xfId="1" applyNumberFormat="1" applyBorder="1"/>
    <xf numFmtId="9" fontId="1" fillId="0" borderId="10" xfId="1" applyNumberFormat="1" applyBorder="1"/>
    <xf numFmtId="0" fontId="16" fillId="0" borderId="10" xfId="1" applyFont="1" applyBorder="1" applyAlignment="1">
      <alignment horizontal="right"/>
    </xf>
    <xf numFmtId="0" fontId="17" fillId="0" borderId="0" xfId="1" applyFont="1"/>
    <xf numFmtId="0" fontId="17" fillId="0" borderId="10" xfId="1" applyFont="1" applyBorder="1" applyAlignment="1">
      <alignment horizontal="center"/>
    </xf>
    <xf numFmtId="169" fontId="1" fillId="6" borderId="0" xfId="1" applyNumberFormat="1" applyFill="1"/>
    <xf numFmtId="168" fontId="14" fillId="0" borderId="28" xfId="0" applyNumberFormat="1" applyFont="1" applyBorder="1" applyAlignment="1">
      <alignment horizontal="center"/>
    </xf>
    <xf numFmtId="0" fontId="14" fillId="0" borderId="51" xfId="0" applyFont="1" applyBorder="1" applyAlignment="1">
      <alignment horizontal="center" vertical="top"/>
    </xf>
    <xf numFmtId="169" fontId="1" fillId="0" borderId="33" xfId="1" applyNumberFormat="1" applyBorder="1" applyAlignment="1">
      <alignment horizontal="right"/>
    </xf>
    <xf numFmtId="168" fontId="14" fillId="0" borderId="55" xfId="0" applyNumberFormat="1" applyFont="1" applyBorder="1" applyAlignment="1">
      <alignment horizontal="center"/>
    </xf>
    <xf numFmtId="0" fontId="14" fillId="0" borderId="56" xfId="0" applyFont="1" applyBorder="1" applyAlignment="1">
      <alignment horizontal="center" vertical="top"/>
    </xf>
    <xf numFmtId="170" fontId="15" fillId="5" borderId="46" xfId="0" applyNumberFormat="1" applyFont="1" applyFill="1" applyBorder="1" applyAlignment="1">
      <alignment vertical="center"/>
    </xf>
    <xf numFmtId="169" fontId="1" fillId="0" borderId="57" xfId="1" applyNumberFormat="1" applyBorder="1" applyAlignment="1">
      <alignment horizontal="right"/>
    </xf>
    <xf numFmtId="168" fontId="14" fillId="3" borderId="0" xfId="0" applyNumberFormat="1" applyFont="1" applyFill="1" applyAlignment="1">
      <alignment horizontal="center"/>
    </xf>
    <xf numFmtId="0" fontId="14" fillId="3" borderId="0" xfId="0" applyFont="1" applyFill="1" applyAlignment="1">
      <alignment horizontal="center" vertical="top"/>
    </xf>
    <xf numFmtId="170" fontId="15" fillId="3" borderId="0" xfId="0" applyNumberFormat="1" applyFont="1" applyFill="1" applyAlignment="1">
      <alignment vertical="center"/>
    </xf>
    <xf numFmtId="169" fontId="1" fillId="3" borderId="0" xfId="1" applyNumberFormat="1" applyFill="1" applyAlignment="1">
      <alignment horizontal="right"/>
    </xf>
    <xf numFmtId="169" fontId="6" fillId="0" borderId="0" xfId="1" applyNumberFormat="1" applyFont="1"/>
    <xf numFmtId="0" fontId="6" fillId="0" borderId="0" xfId="0" applyFont="1" applyAlignment="1">
      <alignment vertical="center"/>
    </xf>
    <xf numFmtId="17" fontId="1" fillId="0" borderId="0" xfId="1" applyNumberFormat="1"/>
    <xf numFmtId="0" fontId="14" fillId="0" borderId="0" xfId="0" applyFont="1" applyAlignment="1">
      <alignment vertical="center"/>
    </xf>
    <xf numFmtId="0" fontId="1" fillId="7" borderId="0" xfId="1" applyFill="1"/>
    <xf numFmtId="1" fontId="1" fillId="7" borderId="0" xfId="1" applyNumberFormat="1" applyFill="1"/>
    <xf numFmtId="1" fontId="1" fillId="0" borderId="0" xfId="1" applyNumberFormat="1" applyAlignment="1">
      <alignment horizontal="center"/>
    </xf>
    <xf numFmtId="0" fontId="14" fillId="0" borderId="0" xfId="0" applyFont="1" applyAlignment="1">
      <alignment horizontal="left" vertical="center"/>
    </xf>
    <xf numFmtId="170" fontId="1" fillId="0" borderId="0" xfId="1" applyNumberFormat="1"/>
    <xf numFmtId="2" fontId="1" fillId="0" borderId="0" xfId="1" applyNumberFormat="1"/>
    <xf numFmtId="17" fontId="1" fillId="0" borderId="0" xfId="1" applyNumberFormat="1" applyAlignment="1">
      <alignment horizontal="right"/>
    </xf>
    <xf numFmtId="0" fontId="1" fillId="7" borderId="0" xfId="1" applyFill="1" applyAlignment="1">
      <alignment horizontal="right"/>
    </xf>
    <xf numFmtId="170" fontId="0" fillId="0" borderId="0" xfId="0" applyNumberFormat="1"/>
    <xf numFmtId="0" fontId="1" fillId="0" borderId="72" xfId="1" applyBorder="1"/>
    <xf numFmtId="0" fontId="1" fillId="0" borderId="73" xfId="1" applyBorder="1"/>
    <xf numFmtId="0" fontId="1" fillId="0" borderId="74" xfId="1" applyBorder="1"/>
    <xf numFmtId="0" fontId="1" fillId="0" borderId="75" xfId="1" applyBorder="1"/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71" fontId="6" fillId="0" borderId="9" xfId="1" applyNumberFormat="1" applyFont="1" applyBorder="1" applyAlignment="1">
      <alignment horizontal="center"/>
    </xf>
    <xf numFmtId="171" fontId="6" fillId="0" borderId="0" xfId="1" applyNumberFormat="1" applyFont="1" applyAlignment="1">
      <alignment horizontal="center"/>
    </xf>
    <xf numFmtId="171" fontId="6" fillId="0" borderId="10" xfId="1" applyNumberFormat="1" applyFont="1" applyBorder="1" applyAlignment="1">
      <alignment horizontal="center"/>
    </xf>
    <xf numFmtId="9" fontId="6" fillId="0" borderId="9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9" fontId="6" fillId="0" borderId="10" xfId="1" applyNumberFormat="1" applyFont="1" applyBorder="1" applyAlignment="1">
      <alignment horizontal="center"/>
    </xf>
    <xf numFmtId="0" fontId="6" fillId="0" borderId="41" xfId="1" applyFont="1" applyBorder="1" applyAlignment="1">
      <alignment horizontal="center" vertical="center"/>
    </xf>
    <xf numFmtId="0" fontId="6" fillId="0" borderId="42" xfId="1" applyFont="1" applyBorder="1" applyAlignment="1">
      <alignment horizontal="center" vertical="center"/>
    </xf>
    <xf numFmtId="0" fontId="6" fillId="0" borderId="43" xfId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69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6" fillId="0" borderId="70" xfId="1" applyFont="1" applyBorder="1" applyAlignment="1">
      <alignment horizontal="center" vertical="center" wrapText="1"/>
    </xf>
    <xf numFmtId="0" fontId="6" fillId="0" borderId="47" xfId="1" applyFont="1" applyBorder="1" applyAlignment="1">
      <alignment horizontal="center" vertical="center" wrapText="1"/>
    </xf>
    <xf numFmtId="0" fontId="13" fillId="4" borderId="41" xfId="1" applyFont="1" applyFill="1" applyBorder="1" applyAlignment="1">
      <alignment horizontal="center"/>
    </xf>
    <xf numFmtId="0" fontId="13" fillId="4" borderId="42" xfId="1" applyFont="1" applyFill="1" applyBorder="1" applyAlignment="1">
      <alignment horizontal="center"/>
    </xf>
    <xf numFmtId="0" fontId="13" fillId="4" borderId="43" xfId="1" applyFont="1" applyFill="1" applyBorder="1" applyAlignment="1">
      <alignment horizontal="center"/>
    </xf>
    <xf numFmtId="0" fontId="1" fillId="0" borderId="5" xfId="1" applyBorder="1" applyAlignment="1">
      <alignment horizontal="left"/>
    </xf>
    <xf numFmtId="0" fontId="1" fillId="0" borderId="6" xfId="1" applyBorder="1" applyAlignment="1">
      <alignment horizontal="left"/>
    </xf>
    <xf numFmtId="0" fontId="1" fillId="0" borderId="9" xfId="1" applyBorder="1" applyAlignment="1">
      <alignment horizontal="left"/>
    </xf>
    <xf numFmtId="0" fontId="1" fillId="0" borderId="0" xfId="1" applyAlignment="1">
      <alignment horizontal="left"/>
    </xf>
    <xf numFmtId="0" fontId="1" fillId="0" borderId="11" xfId="1" applyBorder="1" applyAlignment="1">
      <alignment horizontal="left" vertical="top"/>
    </xf>
    <xf numFmtId="0" fontId="1" fillId="0" borderId="12" xfId="1" applyBorder="1" applyAlignment="1">
      <alignment horizontal="left" vertical="top"/>
    </xf>
    <xf numFmtId="0" fontId="1" fillId="0" borderId="12" xfId="1" quotePrefix="1" applyBorder="1" applyAlignment="1">
      <alignment horizontal="left" vertical="top" wrapText="1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3" xfId="1" applyBorder="1" applyAlignment="1">
      <alignment horizontal="center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1" fillId="0" borderId="12" xfId="1" applyBorder="1" applyAlignment="1">
      <alignment horizontal="left" vertical="top" wrapText="1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1" fillId="0" borderId="35" xfId="1" applyBorder="1" applyAlignment="1">
      <alignment horizontal="center"/>
    </xf>
    <xf numFmtId="0" fontId="1" fillId="0" borderId="36" xfId="1" applyBorder="1" applyAlignment="1">
      <alignment horizontal="center"/>
    </xf>
    <xf numFmtId="0" fontId="3" fillId="0" borderId="9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41" xfId="1" applyFont="1" applyBorder="1" applyAlignment="1">
      <alignment horizontal="center"/>
    </xf>
    <xf numFmtId="0" fontId="3" fillId="0" borderId="42" xfId="1" applyFont="1" applyBorder="1" applyAlignment="1">
      <alignment horizontal="center"/>
    </xf>
    <xf numFmtId="0" fontId="3" fillId="0" borderId="43" xfId="1" applyFont="1" applyBorder="1" applyAlignment="1">
      <alignment horizontal="center"/>
    </xf>
    <xf numFmtId="0" fontId="9" fillId="0" borderId="14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45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45" xfId="1" applyFont="1" applyBorder="1" applyAlignment="1">
      <alignment horizontal="center" vertical="center"/>
    </xf>
    <xf numFmtId="0" fontId="6" fillId="3" borderId="41" xfId="1" applyFont="1" applyFill="1" applyBorder="1" applyAlignment="1">
      <alignment horizontal="center" vertical="center"/>
    </xf>
    <xf numFmtId="0" fontId="6" fillId="3" borderId="42" xfId="1" applyFont="1" applyFill="1" applyBorder="1" applyAlignment="1">
      <alignment horizontal="center" vertical="center"/>
    </xf>
    <xf numFmtId="0" fontId="6" fillId="3" borderId="43" xfId="1" applyFont="1" applyFill="1" applyBorder="1" applyAlignment="1">
      <alignment horizontal="center" vertical="center"/>
    </xf>
    <xf numFmtId="0" fontId="1" fillId="0" borderId="37" xfId="1" applyBorder="1" applyAlignment="1">
      <alignment horizontal="left" vertical="center"/>
    </xf>
    <xf numFmtId="0" fontId="1" fillId="0" borderId="21" xfId="1" applyBorder="1" applyAlignment="1">
      <alignment horizontal="left" vertical="center"/>
    </xf>
    <xf numFmtId="0" fontId="1" fillId="0" borderId="59" xfId="1" applyBorder="1" applyAlignment="1">
      <alignment horizontal="left" vertical="center"/>
    </xf>
    <xf numFmtId="0" fontId="1" fillId="0" borderId="21" xfId="1" applyBorder="1" applyAlignment="1">
      <alignment horizontal="center" vertical="center"/>
    </xf>
    <xf numFmtId="0" fontId="1" fillId="0" borderId="61" xfId="1" applyBorder="1" applyAlignment="1">
      <alignment horizontal="center" vertical="center"/>
    </xf>
    <xf numFmtId="0" fontId="1" fillId="0" borderId="38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5" xfId="1" applyBorder="1" applyAlignment="1">
      <alignment horizontal="left" vertical="center"/>
    </xf>
    <xf numFmtId="0" fontId="1" fillId="0" borderId="24" xfId="1" applyBorder="1" applyAlignment="1">
      <alignment horizontal="center" vertical="center"/>
    </xf>
    <xf numFmtId="0" fontId="1" fillId="0" borderId="26" xfId="1" applyBorder="1" applyAlignment="1">
      <alignment horizontal="center" vertical="center"/>
    </xf>
    <xf numFmtId="0" fontId="1" fillId="0" borderId="39" xfId="1" applyBorder="1" applyAlignment="1">
      <alignment horizontal="left" vertical="center"/>
    </xf>
    <xf numFmtId="0" fontId="1" fillId="0" borderId="32" xfId="1" applyBorder="1" applyAlignment="1">
      <alignment horizontal="left" vertical="center"/>
    </xf>
    <xf numFmtId="0" fontId="1" fillId="0" borderId="50" xfId="1" applyBorder="1" applyAlignment="1">
      <alignment horizontal="left" vertical="center"/>
    </xf>
    <xf numFmtId="0" fontId="1" fillId="0" borderId="32" xfId="1" applyBorder="1" applyAlignment="1">
      <alignment horizontal="center" vertical="center"/>
    </xf>
    <xf numFmtId="0" fontId="1" fillId="0" borderId="33" xfId="1" applyBorder="1" applyAlignment="1">
      <alignment horizontal="center" vertical="center"/>
    </xf>
    <xf numFmtId="0" fontId="1" fillId="0" borderId="23" xfId="1" applyBorder="1" applyAlignment="1">
      <alignment horizontal="left" vertical="center"/>
    </xf>
    <xf numFmtId="0" fontId="1" fillId="0" borderId="26" xfId="1" applyBorder="1" applyAlignment="1">
      <alignment horizontal="left" vertical="center"/>
    </xf>
    <xf numFmtId="0" fontId="1" fillId="0" borderId="22" xfId="1" applyBorder="1" applyAlignment="1">
      <alignment horizontal="center" vertical="center"/>
    </xf>
    <xf numFmtId="0" fontId="1" fillId="0" borderId="48" xfId="1" applyBorder="1" applyAlignment="1">
      <alignment horizontal="center" vertical="center"/>
    </xf>
    <xf numFmtId="39" fontId="1" fillId="0" borderId="48" xfId="1" applyNumberFormat="1" applyBorder="1" applyAlignment="1">
      <alignment horizontal="center" vertical="center"/>
    </xf>
    <xf numFmtId="39" fontId="1" fillId="0" borderId="49" xfId="1" applyNumberFormat="1" applyBorder="1" applyAlignment="1">
      <alignment horizontal="center" vertical="center"/>
    </xf>
    <xf numFmtId="0" fontId="1" fillId="0" borderId="31" xfId="1" applyBorder="1" applyAlignment="1">
      <alignment horizontal="left" vertical="center"/>
    </xf>
    <xf numFmtId="0" fontId="1" fillId="0" borderId="33" xfId="1" applyBorder="1" applyAlignment="1">
      <alignment horizontal="left" vertical="center"/>
    </xf>
    <xf numFmtId="0" fontId="1" fillId="0" borderId="28" xfId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39" fontId="1" fillId="0" borderId="51" xfId="1" applyNumberFormat="1" applyBorder="1" applyAlignment="1">
      <alignment horizontal="center" vertical="center"/>
    </xf>
    <xf numFmtId="39" fontId="1" fillId="0" borderId="52" xfId="1" applyNumberFormat="1" applyBorder="1" applyAlignment="1">
      <alignment horizontal="center" vertical="center"/>
    </xf>
    <xf numFmtId="0" fontId="1" fillId="0" borderId="60" xfId="1" applyBorder="1" applyAlignment="1">
      <alignment horizontal="left" vertical="center"/>
    </xf>
    <xf numFmtId="0" fontId="1" fillId="0" borderId="61" xfId="1" applyBorder="1" applyAlignment="1">
      <alignment horizontal="left" vertical="center"/>
    </xf>
    <xf numFmtId="0" fontId="1" fillId="0" borderId="16" xfId="1" applyBorder="1" applyAlignment="1">
      <alignment horizontal="center" vertical="center"/>
    </xf>
    <xf numFmtId="0" fontId="1" fillId="0" borderId="53" xfId="1" applyBorder="1" applyAlignment="1">
      <alignment horizontal="center" vertical="center"/>
    </xf>
    <xf numFmtId="0" fontId="1" fillId="0" borderId="54" xfId="1" applyBorder="1" applyAlignment="1">
      <alignment horizontal="center" vertical="center"/>
    </xf>
    <xf numFmtId="0" fontId="1" fillId="0" borderId="49" xfId="1" applyBorder="1" applyAlignment="1">
      <alignment horizontal="center" vertical="center"/>
    </xf>
    <xf numFmtId="0" fontId="3" fillId="0" borderId="4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53" xfId="1" applyFont="1" applyBorder="1" applyAlignment="1">
      <alignment horizontal="center" vertical="center"/>
    </xf>
    <xf numFmtId="0" fontId="3" fillId="0" borderId="54" xfId="1" applyFont="1" applyBorder="1" applyAlignment="1">
      <alignment horizontal="center" vertical="center"/>
    </xf>
    <xf numFmtId="0" fontId="3" fillId="0" borderId="55" xfId="1" applyFont="1" applyBorder="1" applyAlignment="1">
      <alignment horizontal="center" vertical="center"/>
    </xf>
    <xf numFmtId="0" fontId="3" fillId="0" borderId="56" xfId="1" applyFont="1" applyBorder="1" applyAlignment="1">
      <alignment horizontal="center" vertical="center"/>
    </xf>
    <xf numFmtId="0" fontId="3" fillId="0" borderId="57" xfId="1" applyFont="1" applyBorder="1" applyAlignment="1">
      <alignment horizontal="center" vertical="center"/>
    </xf>
  </cellXfs>
  <cellStyles count="3">
    <cellStyle name="Normal" xfId="0" builtinId="0"/>
    <cellStyle name="Normal 2" xfId="1" xr:uid="{185A61F5-4602-455A-8258-A010AD2E3105}"/>
    <cellStyle name="Normal 5" xfId="2" xr:uid="{1068F17A-99CB-4047-A390-730E8F1F89BD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Precipitação</a:t>
            </a:r>
            <a:r>
              <a:rPr lang="en-US" baseline="0"/>
              <a:t> Anual </a:t>
            </a:r>
            <a:r>
              <a:rPr lang="en-US"/>
              <a:t>(mm)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513744871763059"/>
          <c:y val="0.19130782091113774"/>
          <c:w val="0.86799792046960311"/>
          <c:h val="0.56404201087432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'Controle Pluv.'!$S$51</c:f>
              <c:strCache>
                <c:ptCount val="1"/>
                <c:pt idx="0">
                  <c:v>Total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2.7887859185195298E-3"/>
                  <c:y val="-4.48888558997034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DC-4E01-9153-AB446A7B473F}"/>
                </c:ext>
              </c:extLst>
            </c:dLbl>
            <c:dLbl>
              <c:idx val="12"/>
              <c:layout>
                <c:manualLayout>
                  <c:x val="-1.1144275812928851E-2"/>
                  <c:y val="-5.73574619398363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877115492868767E-2"/>
                      <c:h val="9.574029263847336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6DC-4E01-9153-AB446A7B473F}"/>
                </c:ext>
              </c:extLst>
            </c:dLbl>
            <c:dLbl>
              <c:idx val="13"/>
              <c:layout>
                <c:manualLayout>
                  <c:x val="-1.3394955986590112E-5"/>
                  <c:y val="-1.92380810998729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789145914109205E-2"/>
                      <c:h val="0.101873476364008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56DC-4E01-9153-AB446A7B473F}"/>
                </c:ext>
              </c:extLst>
            </c:dLbl>
            <c:dLbl>
              <c:idx val="15"/>
              <c:layout>
                <c:manualLayout>
                  <c:x val="-1.0225430242862394E-16"/>
                  <c:y val="-3.20634684997881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DC-4E01-9153-AB446A7B473F}"/>
                </c:ext>
              </c:extLst>
            </c:dLbl>
            <c:dLbl>
              <c:idx val="19"/>
              <c:layout>
                <c:manualLayout>
                  <c:x val="-1.0227680625329358E-16"/>
                  <c:y val="-7.67386284329710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DC-4E01-9153-AB446A7B473F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7651900495834969E-2"/>
                      <c:h val="0.115213172869191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6DC-4E01-9153-AB446A7B47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'Controle Pluv.'!$R$52:$R$83</c:f>
              <c:numCache>
                <c:formatCode>mmm\-yy</c:formatCode>
                <c:ptCount val="3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</c:numCache>
            </c:numRef>
          </c:cat>
          <c:val>
            <c:numRef>
              <c:f>'Controle Pluv.'!$S$52:$S$83</c:f>
              <c:numCache>
                <c:formatCode>#,##0.0_ ;\-#,##0.0\ 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6-56DC-4E01-9153-AB446A7B47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2462079"/>
        <c:axId val="632462495"/>
      </c:barChart>
      <c:dateAx>
        <c:axId val="63246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2462495"/>
        <c:crosses val="autoZero"/>
        <c:auto val="1"/>
        <c:lblOffset val="100"/>
        <c:baseTimeUnit val="months"/>
        <c:majorUnit val="1"/>
        <c:majorTimeUnit val="months"/>
      </c:dateAx>
      <c:valAx>
        <c:axId val="63246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;\-#,##0.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246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Precipitação do Período (mm)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'Controle Pluv.'!$S$13</c:f>
              <c:strCache>
                <c:ptCount val="1"/>
                <c:pt idx="0">
                  <c:v>Precipitação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'Controle Pluv.'!$R$14:$R$43</c:f>
              <c:numCache>
                <c:formatCode>dd/mm/yy;@</c:formatCode>
                <c:ptCount val="30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46264</c:v>
                </c:pt>
                <c:pt idx="29">
                  <c:v>46265</c:v>
                </c:pt>
              </c:numCache>
            </c:numRef>
          </c:cat>
          <c:val>
            <c:numRef>
              <c:f>'Controle Pluv.'!$S$14:$S$43</c:f>
              <c:numCache>
                <c:formatCode>#,##0.0_ ;\-#,##0.0\ 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8.5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B-4990-9197-0DE063BEC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6546888"/>
        <c:axId val="1076546528"/>
      </c:barChart>
      <c:dateAx>
        <c:axId val="1076546888"/>
        <c:scaling>
          <c:orientation val="minMax"/>
        </c:scaling>
        <c:delete val="0"/>
        <c:axPos val="b"/>
        <c:numFmt formatCode="dd/mm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6546528"/>
        <c:crosses val="autoZero"/>
        <c:auto val="1"/>
        <c:lblOffset val="100"/>
        <c:baseTimeUnit val="days"/>
      </c:dateAx>
      <c:valAx>
        <c:axId val="107654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_ ;\-#,##0.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6546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78441</xdr:colOff>
      <xdr:row>187</xdr:row>
      <xdr:rowOff>114303</xdr:rowOff>
    </xdr:from>
    <xdr:ext cx="487746" cy="526677"/>
    <xdr:pic>
      <xdr:nvPicPr>
        <xdr:cNvPr id="17" name="Imagem 16" descr="Dercor.BMP">
          <a:extLst>
            <a:ext uri="{FF2B5EF4-FFF2-40B4-BE49-F238E27FC236}">
              <a16:creationId xmlns:a16="http://schemas.microsoft.com/office/drawing/2014/main" id="{0F10AB81-9AF1-4A3A-B38D-C0094918F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616" y="32546928"/>
          <a:ext cx="487746" cy="5266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26895</xdr:colOff>
      <xdr:row>187</xdr:row>
      <xdr:rowOff>17930</xdr:rowOff>
    </xdr:from>
    <xdr:ext cx="1175385" cy="421892"/>
    <xdr:pic>
      <xdr:nvPicPr>
        <xdr:cNvPr id="18" name="Imagem 17" descr="Desenho com traços pretos em fundo branco e letras pretas em fundo branco&#10;&#10;O conteúdo gerado por IA pode estar incorreto.">
          <a:extLst>
            <a:ext uri="{FF2B5EF4-FFF2-40B4-BE49-F238E27FC236}">
              <a16:creationId xmlns:a16="http://schemas.microsoft.com/office/drawing/2014/main" id="{4B3C64AA-BD67-43A3-A0DB-63AB0A4AF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1020" y="32450555"/>
          <a:ext cx="1175385" cy="4218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42136</xdr:colOff>
      <xdr:row>189</xdr:row>
      <xdr:rowOff>30030</xdr:rowOff>
    </xdr:from>
    <xdr:ext cx="1194435" cy="293549"/>
    <xdr:pic>
      <xdr:nvPicPr>
        <xdr:cNvPr id="19" name="Imagem 18">
          <a:extLst>
            <a:ext uri="{FF2B5EF4-FFF2-40B4-BE49-F238E27FC236}">
              <a16:creationId xmlns:a16="http://schemas.microsoft.com/office/drawing/2014/main" id="{AB1C0D9D-6C00-4114-AB77-F3667CFE1C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514"/>
        <a:stretch/>
      </xdr:blipFill>
      <xdr:spPr>
        <a:xfrm>
          <a:off x="6376261" y="32862705"/>
          <a:ext cx="1194435" cy="293549"/>
        </a:xfrm>
        <a:prstGeom prst="rect">
          <a:avLst/>
        </a:prstGeom>
      </xdr:spPr>
    </xdr:pic>
    <xdr:clientData/>
  </xdr:oneCellAnchor>
  <xdr:oneCellAnchor>
    <xdr:from>
      <xdr:col>2</xdr:col>
      <xdr:colOff>78441</xdr:colOff>
      <xdr:row>187</xdr:row>
      <xdr:rowOff>114303</xdr:rowOff>
    </xdr:from>
    <xdr:ext cx="487746" cy="526677"/>
    <xdr:pic>
      <xdr:nvPicPr>
        <xdr:cNvPr id="20" name="Imagem 19" descr="Dercor.BMP">
          <a:extLst>
            <a:ext uri="{FF2B5EF4-FFF2-40B4-BE49-F238E27FC236}">
              <a16:creationId xmlns:a16="http://schemas.microsoft.com/office/drawing/2014/main" id="{BCD73B5B-C5A0-437B-B252-60F4DC7B6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616" y="32546928"/>
          <a:ext cx="487746" cy="5266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26895</xdr:colOff>
      <xdr:row>187</xdr:row>
      <xdr:rowOff>17930</xdr:rowOff>
    </xdr:from>
    <xdr:ext cx="1175385" cy="432778"/>
    <xdr:pic>
      <xdr:nvPicPr>
        <xdr:cNvPr id="21" name="Imagem 20" descr="Desenho com traços pretos em fundo branco e letras pretas em fundo branco&#10;&#10;O conteúdo gerado por IA pode estar incorreto.">
          <a:extLst>
            <a:ext uri="{FF2B5EF4-FFF2-40B4-BE49-F238E27FC236}">
              <a16:creationId xmlns:a16="http://schemas.microsoft.com/office/drawing/2014/main" id="{6AEB378D-D7C6-49F9-A432-9746F4719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1020" y="32450555"/>
          <a:ext cx="1175385" cy="432778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42136</xdr:colOff>
      <xdr:row>189</xdr:row>
      <xdr:rowOff>30030</xdr:rowOff>
    </xdr:from>
    <xdr:ext cx="1194435" cy="298992"/>
    <xdr:pic>
      <xdr:nvPicPr>
        <xdr:cNvPr id="22" name="Imagem 21">
          <a:extLst>
            <a:ext uri="{FF2B5EF4-FFF2-40B4-BE49-F238E27FC236}">
              <a16:creationId xmlns:a16="http://schemas.microsoft.com/office/drawing/2014/main" id="{81BF90D6-132C-41A2-AE06-2F29B10101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514"/>
        <a:stretch/>
      </xdr:blipFill>
      <xdr:spPr>
        <a:xfrm>
          <a:off x="6376261" y="32862705"/>
          <a:ext cx="1194435" cy="298992"/>
        </a:xfrm>
        <a:prstGeom prst="rect">
          <a:avLst/>
        </a:prstGeom>
      </xdr:spPr>
    </xdr:pic>
    <xdr:clientData/>
  </xdr:oneCellAnchor>
  <xdr:twoCellAnchor>
    <xdr:from>
      <xdr:col>4</xdr:col>
      <xdr:colOff>361293</xdr:colOff>
      <xdr:row>3</xdr:row>
      <xdr:rowOff>52551</xdr:rowOff>
    </xdr:from>
    <xdr:to>
      <xdr:col>9</xdr:col>
      <xdr:colOff>124811</xdr:colOff>
      <xdr:row>5</xdr:row>
      <xdr:rowOff>78827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88C888D8-3D89-EEAB-2298-FFDDEF7107B0}"/>
            </a:ext>
          </a:extLst>
        </xdr:cNvPr>
        <xdr:cNvSpPr txBox="1"/>
      </xdr:nvSpPr>
      <xdr:spPr>
        <a:xfrm>
          <a:off x="1950983" y="492672"/>
          <a:ext cx="3823138" cy="4072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Àrea</a:t>
          </a:r>
          <a:r>
            <a:rPr lang="pt-BR" sz="1100" baseline="0"/>
            <a:t> reservada para o banner de customização do cabeçalho</a:t>
          </a:r>
          <a:endParaRPr lang="pt-BR" sz="1100"/>
        </a:p>
      </xdr:txBody>
    </xdr:sp>
    <xdr:clientData/>
  </xdr:twoCellAnchor>
  <xdr:twoCellAnchor>
    <xdr:from>
      <xdr:col>4</xdr:col>
      <xdr:colOff>604345</xdr:colOff>
      <xdr:row>65</xdr:row>
      <xdr:rowOff>0</xdr:rowOff>
    </xdr:from>
    <xdr:to>
      <xdr:col>9</xdr:col>
      <xdr:colOff>367863</xdr:colOff>
      <xdr:row>67</xdr:row>
      <xdr:rowOff>26276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40F5337D-D057-4613-8739-8EF1ADC806B9}"/>
            </a:ext>
          </a:extLst>
        </xdr:cNvPr>
        <xdr:cNvSpPr txBox="1"/>
      </xdr:nvSpPr>
      <xdr:spPr>
        <a:xfrm>
          <a:off x="2194035" y="11856983"/>
          <a:ext cx="3823138" cy="4072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Àrea</a:t>
          </a:r>
          <a:r>
            <a:rPr lang="pt-BR" sz="1100" baseline="0"/>
            <a:t> reservada para o banner de customização do cabeçalho</a:t>
          </a:r>
          <a:endParaRPr lang="pt-BR" sz="1100"/>
        </a:p>
      </xdr:txBody>
    </xdr:sp>
    <xdr:clientData/>
  </xdr:twoCellAnchor>
  <xdr:twoCellAnchor>
    <xdr:from>
      <xdr:col>5</xdr:col>
      <xdr:colOff>229915</xdr:colOff>
      <xdr:row>127</xdr:row>
      <xdr:rowOff>72258</xdr:rowOff>
    </xdr:from>
    <xdr:to>
      <xdr:col>9</xdr:col>
      <xdr:colOff>604346</xdr:colOff>
      <xdr:row>129</xdr:row>
      <xdr:rowOff>85396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CC4D42B6-CC36-441A-B9F5-F339E519D3F3}"/>
            </a:ext>
          </a:extLst>
        </xdr:cNvPr>
        <xdr:cNvSpPr txBox="1"/>
      </xdr:nvSpPr>
      <xdr:spPr>
        <a:xfrm>
          <a:off x="2430518" y="22551258"/>
          <a:ext cx="3823138" cy="4072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Àrea</a:t>
          </a:r>
          <a:r>
            <a:rPr lang="pt-BR" sz="1100" baseline="0"/>
            <a:t> reservada para o banner de customização do cabeçalho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3</xdr:row>
      <xdr:rowOff>38100</xdr:rowOff>
    </xdr:from>
    <xdr:to>
      <xdr:col>8</xdr:col>
      <xdr:colOff>3613</xdr:colOff>
      <xdr:row>5</xdr:row>
      <xdr:rowOff>64376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5EA0A40-5B36-432B-9CF0-2F842B9D2B19}"/>
            </a:ext>
          </a:extLst>
        </xdr:cNvPr>
        <xdr:cNvSpPr txBox="1"/>
      </xdr:nvSpPr>
      <xdr:spPr>
        <a:xfrm>
          <a:off x="2200275" y="476250"/>
          <a:ext cx="3823138" cy="4072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Àrea</a:t>
          </a:r>
          <a:r>
            <a:rPr lang="pt-BR" sz="1100" baseline="0"/>
            <a:t> reservada para o banner de customização do cabeçalho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63073</xdr:colOff>
      <xdr:row>62</xdr:row>
      <xdr:rowOff>103494</xdr:rowOff>
    </xdr:from>
    <xdr:to>
      <xdr:col>13</xdr:col>
      <xdr:colOff>66675</xdr:colOff>
      <xdr:row>74</xdr:row>
      <xdr:rowOff>12446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808DD6-BAA3-42C8-9AD3-695CCFDF5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42581</xdr:colOff>
      <xdr:row>48</xdr:row>
      <xdr:rowOff>113740</xdr:rowOff>
    </xdr:from>
    <xdr:to>
      <xdr:col>13</xdr:col>
      <xdr:colOff>66674</xdr:colOff>
      <xdr:row>62</xdr:row>
      <xdr:rowOff>9525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1FFB8D3-B41B-436F-9B67-19D016A1A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795619</xdr:colOff>
      <xdr:row>1</xdr:row>
      <xdr:rowOff>168088</xdr:rowOff>
    </xdr:from>
    <xdr:to>
      <xdr:col>10</xdr:col>
      <xdr:colOff>349315</xdr:colOff>
      <xdr:row>4</xdr:row>
      <xdr:rowOff>59894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EC5E3800-F249-4CB1-A856-73C07D9ED11A}"/>
            </a:ext>
          </a:extLst>
        </xdr:cNvPr>
        <xdr:cNvSpPr txBox="1"/>
      </xdr:nvSpPr>
      <xdr:spPr>
        <a:xfrm>
          <a:off x="3227295" y="280147"/>
          <a:ext cx="3823138" cy="4072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Àrea</a:t>
          </a:r>
          <a:r>
            <a:rPr lang="pt-BR" sz="1100" baseline="0"/>
            <a:t> reservada para o banner de customização do cabeçalho</a:t>
          </a:r>
          <a:endParaRPr lang="pt-BR" sz="1100"/>
        </a:p>
      </xdr:txBody>
    </xdr:sp>
    <xdr:clientData/>
  </xdr:twoCellAnchor>
  <xdr:twoCellAnchor>
    <xdr:from>
      <xdr:col>1</xdr:col>
      <xdr:colOff>38100</xdr:colOff>
      <xdr:row>5</xdr:row>
      <xdr:rowOff>104775</xdr:rowOff>
    </xdr:from>
    <xdr:to>
      <xdr:col>14</xdr:col>
      <xdr:colOff>38100</xdr:colOff>
      <xdr:row>9</xdr:row>
      <xdr:rowOff>95250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E7A102B1-B19B-E4E4-0B10-54051515114A}"/>
            </a:ext>
          </a:extLst>
        </xdr:cNvPr>
        <xdr:cNvSpPr/>
      </xdr:nvSpPr>
      <xdr:spPr>
        <a:xfrm>
          <a:off x="647700" y="914400"/>
          <a:ext cx="8877300" cy="895350"/>
        </a:xfrm>
        <a:custGeom>
          <a:avLst/>
          <a:gdLst>
            <a:gd name="csX0" fmla="*/ 0 w 8877300"/>
            <a:gd name="csY0" fmla="*/ 0 h 895350"/>
            <a:gd name="csX1" fmla="*/ 503047 w 8877300"/>
            <a:gd name="csY1" fmla="*/ 0 h 895350"/>
            <a:gd name="csX2" fmla="*/ 828548 w 8877300"/>
            <a:gd name="csY2" fmla="*/ 0 h 895350"/>
            <a:gd name="csX3" fmla="*/ 1597914 w 8877300"/>
            <a:gd name="csY3" fmla="*/ 0 h 895350"/>
            <a:gd name="csX4" fmla="*/ 2100961 w 8877300"/>
            <a:gd name="csY4" fmla="*/ 0 h 895350"/>
            <a:gd name="csX5" fmla="*/ 2604008 w 8877300"/>
            <a:gd name="csY5" fmla="*/ 0 h 895350"/>
            <a:gd name="csX6" fmla="*/ 3373374 w 8877300"/>
            <a:gd name="csY6" fmla="*/ 0 h 895350"/>
            <a:gd name="csX7" fmla="*/ 3787648 w 8877300"/>
            <a:gd name="csY7" fmla="*/ 0 h 895350"/>
            <a:gd name="csX8" fmla="*/ 4557014 w 8877300"/>
            <a:gd name="csY8" fmla="*/ 0 h 895350"/>
            <a:gd name="csX9" fmla="*/ 5326380 w 8877300"/>
            <a:gd name="csY9" fmla="*/ 0 h 895350"/>
            <a:gd name="csX10" fmla="*/ 5918200 w 8877300"/>
            <a:gd name="csY10" fmla="*/ 0 h 895350"/>
            <a:gd name="csX11" fmla="*/ 6687566 w 8877300"/>
            <a:gd name="csY11" fmla="*/ 0 h 895350"/>
            <a:gd name="csX12" fmla="*/ 7190613 w 8877300"/>
            <a:gd name="csY12" fmla="*/ 0 h 895350"/>
            <a:gd name="csX13" fmla="*/ 7693660 w 8877300"/>
            <a:gd name="csY13" fmla="*/ 0 h 895350"/>
            <a:gd name="csX14" fmla="*/ 8374253 w 8877300"/>
            <a:gd name="csY14" fmla="*/ 0 h 895350"/>
            <a:gd name="csX15" fmla="*/ 8877300 w 8877300"/>
            <a:gd name="csY15" fmla="*/ 0 h 895350"/>
            <a:gd name="csX16" fmla="*/ 8877300 w 8877300"/>
            <a:gd name="csY16" fmla="*/ 465582 h 895350"/>
            <a:gd name="csX17" fmla="*/ 8877300 w 8877300"/>
            <a:gd name="csY17" fmla="*/ 895350 h 895350"/>
            <a:gd name="csX18" fmla="*/ 8196707 w 8877300"/>
            <a:gd name="csY18" fmla="*/ 895350 h 895350"/>
            <a:gd name="csX19" fmla="*/ 7871206 w 8877300"/>
            <a:gd name="csY19" fmla="*/ 895350 h 895350"/>
            <a:gd name="csX20" fmla="*/ 7456932 w 8877300"/>
            <a:gd name="csY20" fmla="*/ 895350 h 895350"/>
            <a:gd name="csX21" fmla="*/ 6687566 w 8877300"/>
            <a:gd name="csY21" fmla="*/ 895350 h 895350"/>
            <a:gd name="csX22" fmla="*/ 6095746 w 8877300"/>
            <a:gd name="csY22" fmla="*/ 895350 h 895350"/>
            <a:gd name="csX23" fmla="*/ 5681472 w 8877300"/>
            <a:gd name="csY23" fmla="*/ 895350 h 895350"/>
            <a:gd name="csX24" fmla="*/ 5089652 w 8877300"/>
            <a:gd name="csY24" fmla="*/ 895350 h 895350"/>
            <a:gd name="csX25" fmla="*/ 4764151 w 8877300"/>
            <a:gd name="csY25" fmla="*/ 895350 h 895350"/>
            <a:gd name="csX26" fmla="*/ 4438650 w 8877300"/>
            <a:gd name="csY26" fmla="*/ 895350 h 895350"/>
            <a:gd name="csX27" fmla="*/ 3846830 w 8877300"/>
            <a:gd name="csY27" fmla="*/ 895350 h 895350"/>
            <a:gd name="csX28" fmla="*/ 3432556 w 8877300"/>
            <a:gd name="csY28" fmla="*/ 895350 h 895350"/>
            <a:gd name="csX29" fmla="*/ 2751963 w 8877300"/>
            <a:gd name="csY29" fmla="*/ 895350 h 895350"/>
            <a:gd name="csX30" fmla="*/ 2337689 w 8877300"/>
            <a:gd name="csY30" fmla="*/ 895350 h 895350"/>
            <a:gd name="csX31" fmla="*/ 1657096 w 8877300"/>
            <a:gd name="csY31" fmla="*/ 895350 h 895350"/>
            <a:gd name="csX32" fmla="*/ 1331595 w 8877300"/>
            <a:gd name="csY32" fmla="*/ 895350 h 895350"/>
            <a:gd name="csX33" fmla="*/ 651002 w 8877300"/>
            <a:gd name="csY33" fmla="*/ 895350 h 895350"/>
            <a:gd name="csX34" fmla="*/ 0 w 8877300"/>
            <a:gd name="csY34" fmla="*/ 895350 h 895350"/>
            <a:gd name="csX35" fmla="*/ 0 w 8877300"/>
            <a:gd name="csY35" fmla="*/ 474536 h 895350"/>
            <a:gd name="csX36" fmla="*/ 0 w 8877300"/>
            <a:gd name="csY36" fmla="*/ 0 h 8953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</a:cxnLst>
          <a:rect l="l" t="t" r="r" b="b"/>
          <a:pathLst>
            <a:path w="8877300" h="895350" extrusionOk="0">
              <a:moveTo>
                <a:pt x="0" y="0"/>
              </a:moveTo>
              <a:cubicBezTo>
                <a:pt x="234123" y="-28627"/>
                <a:pt x="334918" y="40263"/>
                <a:pt x="503047" y="0"/>
              </a:cubicBezTo>
              <a:cubicBezTo>
                <a:pt x="671176" y="-40263"/>
                <a:pt x="715029" y="31181"/>
                <a:pt x="828548" y="0"/>
              </a:cubicBezTo>
              <a:cubicBezTo>
                <a:pt x="942067" y="-31181"/>
                <a:pt x="1422216" y="25235"/>
                <a:pt x="1597914" y="0"/>
              </a:cubicBezTo>
              <a:cubicBezTo>
                <a:pt x="1773612" y="-25235"/>
                <a:pt x="1877092" y="5095"/>
                <a:pt x="2100961" y="0"/>
              </a:cubicBezTo>
              <a:cubicBezTo>
                <a:pt x="2324830" y="-5095"/>
                <a:pt x="2487523" y="44666"/>
                <a:pt x="2604008" y="0"/>
              </a:cubicBezTo>
              <a:cubicBezTo>
                <a:pt x="2720493" y="-44666"/>
                <a:pt x="3078664" y="56012"/>
                <a:pt x="3373374" y="0"/>
              </a:cubicBezTo>
              <a:cubicBezTo>
                <a:pt x="3668084" y="-56012"/>
                <a:pt x="3613594" y="42747"/>
                <a:pt x="3787648" y="0"/>
              </a:cubicBezTo>
              <a:cubicBezTo>
                <a:pt x="3961702" y="-42747"/>
                <a:pt x="4191276" y="71691"/>
                <a:pt x="4557014" y="0"/>
              </a:cubicBezTo>
              <a:cubicBezTo>
                <a:pt x="4922752" y="-71691"/>
                <a:pt x="5096493" y="65818"/>
                <a:pt x="5326380" y="0"/>
              </a:cubicBezTo>
              <a:cubicBezTo>
                <a:pt x="5556267" y="-65818"/>
                <a:pt x="5682044" y="68545"/>
                <a:pt x="5918200" y="0"/>
              </a:cubicBezTo>
              <a:cubicBezTo>
                <a:pt x="6154356" y="-68545"/>
                <a:pt x="6438914" y="47557"/>
                <a:pt x="6687566" y="0"/>
              </a:cubicBezTo>
              <a:cubicBezTo>
                <a:pt x="6936218" y="-47557"/>
                <a:pt x="7030798" y="46973"/>
                <a:pt x="7190613" y="0"/>
              </a:cubicBezTo>
              <a:cubicBezTo>
                <a:pt x="7350428" y="-46973"/>
                <a:pt x="7524081" y="24914"/>
                <a:pt x="7693660" y="0"/>
              </a:cubicBezTo>
              <a:cubicBezTo>
                <a:pt x="7863239" y="-24914"/>
                <a:pt x="8111805" y="42632"/>
                <a:pt x="8374253" y="0"/>
              </a:cubicBezTo>
              <a:cubicBezTo>
                <a:pt x="8636701" y="-42632"/>
                <a:pt x="8732821" y="53040"/>
                <a:pt x="8877300" y="0"/>
              </a:cubicBezTo>
              <a:cubicBezTo>
                <a:pt x="8889770" y="144092"/>
                <a:pt x="8855005" y="304795"/>
                <a:pt x="8877300" y="465582"/>
              </a:cubicBezTo>
              <a:cubicBezTo>
                <a:pt x="8899595" y="626369"/>
                <a:pt x="8853189" y="717675"/>
                <a:pt x="8877300" y="895350"/>
              </a:cubicBezTo>
              <a:cubicBezTo>
                <a:pt x="8564134" y="903302"/>
                <a:pt x="8437329" y="878176"/>
                <a:pt x="8196707" y="895350"/>
              </a:cubicBezTo>
              <a:cubicBezTo>
                <a:pt x="7956085" y="912524"/>
                <a:pt x="7970116" y="866354"/>
                <a:pt x="7871206" y="895350"/>
              </a:cubicBezTo>
              <a:cubicBezTo>
                <a:pt x="7772296" y="924346"/>
                <a:pt x="7640698" y="859763"/>
                <a:pt x="7456932" y="895350"/>
              </a:cubicBezTo>
              <a:cubicBezTo>
                <a:pt x="7273166" y="930937"/>
                <a:pt x="6929511" y="819712"/>
                <a:pt x="6687566" y="895350"/>
              </a:cubicBezTo>
              <a:cubicBezTo>
                <a:pt x="6445621" y="970988"/>
                <a:pt x="6240106" y="851484"/>
                <a:pt x="6095746" y="895350"/>
              </a:cubicBezTo>
              <a:cubicBezTo>
                <a:pt x="5951386" y="939216"/>
                <a:pt x="5882677" y="854646"/>
                <a:pt x="5681472" y="895350"/>
              </a:cubicBezTo>
              <a:cubicBezTo>
                <a:pt x="5480267" y="936054"/>
                <a:pt x="5362760" y="864057"/>
                <a:pt x="5089652" y="895350"/>
              </a:cubicBezTo>
              <a:cubicBezTo>
                <a:pt x="4816544" y="926643"/>
                <a:pt x="4885504" y="881621"/>
                <a:pt x="4764151" y="895350"/>
              </a:cubicBezTo>
              <a:cubicBezTo>
                <a:pt x="4642798" y="909079"/>
                <a:pt x="4569299" y="889782"/>
                <a:pt x="4438650" y="895350"/>
              </a:cubicBezTo>
              <a:cubicBezTo>
                <a:pt x="4308001" y="900918"/>
                <a:pt x="4077341" y="867602"/>
                <a:pt x="3846830" y="895350"/>
              </a:cubicBezTo>
              <a:cubicBezTo>
                <a:pt x="3616319" y="923098"/>
                <a:pt x="3637188" y="880742"/>
                <a:pt x="3432556" y="895350"/>
              </a:cubicBezTo>
              <a:cubicBezTo>
                <a:pt x="3227924" y="909958"/>
                <a:pt x="2930103" y="818132"/>
                <a:pt x="2751963" y="895350"/>
              </a:cubicBezTo>
              <a:cubicBezTo>
                <a:pt x="2573823" y="972568"/>
                <a:pt x="2438439" y="849169"/>
                <a:pt x="2337689" y="895350"/>
              </a:cubicBezTo>
              <a:cubicBezTo>
                <a:pt x="2236939" y="941531"/>
                <a:pt x="1958911" y="865932"/>
                <a:pt x="1657096" y="895350"/>
              </a:cubicBezTo>
              <a:cubicBezTo>
                <a:pt x="1355281" y="924768"/>
                <a:pt x="1465358" y="889282"/>
                <a:pt x="1331595" y="895350"/>
              </a:cubicBezTo>
              <a:cubicBezTo>
                <a:pt x="1197832" y="901418"/>
                <a:pt x="828711" y="866261"/>
                <a:pt x="651002" y="895350"/>
              </a:cubicBezTo>
              <a:cubicBezTo>
                <a:pt x="473293" y="924439"/>
                <a:pt x="324518" y="862478"/>
                <a:pt x="0" y="895350"/>
              </a:cubicBezTo>
              <a:cubicBezTo>
                <a:pt x="-9393" y="777690"/>
                <a:pt x="5721" y="565837"/>
                <a:pt x="0" y="474536"/>
              </a:cubicBezTo>
              <a:cubicBezTo>
                <a:pt x="-5721" y="383235"/>
                <a:pt x="43487" y="232741"/>
                <a:pt x="0" y="0"/>
              </a:cubicBezTo>
              <a:close/>
            </a:path>
          </a:pathLst>
        </a:custGeom>
        <a:noFill/>
        <a:ln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1219033472">
                <a:prstGeom prst="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609600</xdr:colOff>
      <xdr:row>5</xdr:row>
      <xdr:rowOff>133350</xdr:rowOff>
    </xdr:from>
    <xdr:to>
      <xdr:col>15</xdr:col>
      <xdr:colOff>390525</xdr:colOff>
      <xdr:row>7</xdr:row>
      <xdr:rowOff>76200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1E964623-FB69-ED2A-83C0-D9FD8AA2E77E}"/>
            </a:ext>
          </a:extLst>
        </xdr:cNvPr>
        <xdr:cNvCxnSpPr/>
      </xdr:nvCxnSpPr>
      <xdr:spPr>
        <a:xfrm flipH="1">
          <a:off x="9086850" y="942975"/>
          <a:ext cx="857250" cy="276225"/>
        </a:xfrm>
        <a:prstGeom prst="straightConnector1">
          <a:avLst/>
        </a:prstGeom>
        <a:ln w="5715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361950</xdr:colOff>
      <xdr:row>4</xdr:row>
      <xdr:rowOff>28575</xdr:rowOff>
    </xdr:from>
    <xdr:ext cx="2119234" cy="609013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6F46F7A3-9315-0506-CD4F-BA7E4994B22F}"/>
            </a:ext>
          </a:extLst>
        </xdr:cNvPr>
        <xdr:cNvSpPr txBox="1"/>
      </xdr:nvSpPr>
      <xdr:spPr>
        <a:xfrm>
          <a:off x="9915525" y="666750"/>
          <a:ext cx="2119234" cy="60901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Deixar</a:t>
          </a:r>
          <a:r>
            <a:rPr lang="pt-BR" sz="1100" baseline="0"/>
            <a:t> esses campos dinâmicos</a:t>
          </a:r>
        </a:p>
        <a:p>
          <a:r>
            <a:rPr lang="pt-BR" sz="1100" baseline="0"/>
            <a:t>vindo as informações da opção de </a:t>
          </a:r>
        </a:p>
        <a:p>
          <a:r>
            <a:rPr lang="pt-BR" sz="1100" baseline="0"/>
            <a:t>configuração do relatório.</a:t>
          </a:r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5797F-492E-4D34-97E4-955AE2C3A883}">
  <dimension ref="A1:T243"/>
  <sheetViews>
    <sheetView showGridLines="0" view="pageBreakPreview" topLeftCell="A120" zoomScale="145" zoomScaleNormal="70" zoomScaleSheetLayoutView="145" workbookViewId="0">
      <selection activeCell="Q129" sqref="Q129"/>
    </sheetView>
  </sheetViews>
  <sheetFormatPr defaultRowHeight="12.75" x14ac:dyDescent="0.2"/>
  <cols>
    <col min="1" max="1" width="1.140625" style="4" customWidth="1"/>
    <col min="2" max="2" width="2.7109375" style="4" customWidth="1"/>
    <col min="3" max="3" width="10.7109375" style="4" customWidth="1"/>
    <col min="4" max="5" width="9.140625" style="4"/>
    <col min="6" max="6" width="15.28515625" style="4" customWidth="1"/>
    <col min="7" max="7" width="13.85546875" style="4" customWidth="1"/>
    <col min="8" max="8" width="13.42578125" style="4" customWidth="1"/>
    <col min="9" max="9" width="9.140625" style="4"/>
    <col min="10" max="10" width="11.28515625" style="4" customWidth="1"/>
    <col min="11" max="11" width="18.42578125" style="4" customWidth="1"/>
    <col min="12" max="12" width="2.7109375" style="4" customWidth="1"/>
    <col min="13" max="13" width="0.85546875" style="4" customWidth="1"/>
    <col min="14" max="14" width="1.5703125" style="4" customWidth="1"/>
    <col min="15" max="18" width="9.140625" style="4"/>
    <col min="19" max="19" width="32.28515625" style="4" customWidth="1"/>
    <col min="20" max="257" width="9.140625" style="4"/>
    <col min="258" max="258" width="2.7109375" style="4" customWidth="1"/>
    <col min="259" max="262" width="9.140625" style="4"/>
    <col min="263" max="263" width="12.85546875" style="4" customWidth="1"/>
    <col min="264" max="265" width="9.140625" style="4"/>
    <col min="266" max="266" width="13.28515625" style="4" customWidth="1"/>
    <col min="267" max="267" width="16.42578125" style="4" bestFit="1" customWidth="1"/>
    <col min="268" max="268" width="2.7109375" style="4" customWidth="1"/>
    <col min="269" max="269" width="15.7109375" style="4" customWidth="1"/>
    <col min="270" max="270" width="2.7109375" style="4" customWidth="1"/>
    <col min="271" max="513" width="9.140625" style="4"/>
    <col min="514" max="514" width="2.7109375" style="4" customWidth="1"/>
    <col min="515" max="518" width="9.140625" style="4"/>
    <col min="519" max="519" width="12.85546875" style="4" customWidth="1"/>
    <col min="520" max="521" width="9.140625" style="4"/>
    <col min="522" max="522" width="13.28515625" style="4" customWidth="1"/>
    <col min="523" max="523" width="16.42578125" style="4" bestFit="1" customWidth="1"/>
    <col min="524" max="524" width="2.7109375" style="4" customWidth="1"/>
    <col min="525" max="525" width="15.7109375" style="4" customWidth="1"/>
    <col min="526" max="526" width="2.7109375" style="4" customWidth="1"/>
    <col min="527" max="769" width="9.140625" style="4"/>
    <col min="770" max="770" width="2.7109375" style="4" customWidth="1"/>
    <col min="771" max="774" width="9.140625" style="4"/>
    <col min="775" max="775" width="12.85546875" style="4" customWidth="1"/>
    <col min="776" max="777" width="9.140625" style="4"/>
    <col min="778" max="778" width="13.28515625" style="4" customWidth="1"/>
    <col min="779" max="779" width="16.42578125" style="4" bestFit="1" customWidth="1"/>
    <col min="780" max="780" width="2.7109375" style="4" customWidth="1"/>
    <col min="781" max="781" width="15.7109375" style="4" customWidth="1"/>
    <col min="782" max="782" width="2.7109375" style="4" customWidth="1"/>
    <col min="783" max="1025" width="9.140625" style="4"/>
    <col min="1026" max="1026" width="2.7109375" style="4" customWidth="1"/>
    <col min="1027" max="1030" width="9.140625" style="4"/>
    <col min="1031" max="1031" width="12.85546875" style="4" customWidth="1"/>
    <col min="1032" max="1033" width="9.140625" style="4"/>
    <col min="1034" max="1034" width="13.28515625" style="4" customWidth="1"/>
    <col min="1035" max="1035" width="16.42578125" style="4" bestFit="1" customWidth="1"/>
    <col min="1036" max="1036" width="2.7109375" style="4" customWidth="1"/>
    <col min="1037" max="1037" width="15.7109375" style="4" customWidth="1"/>
    <col min="1038" max="1038" width="2.7109375" style="4" customWidth="1"/>
    <col min="1039" max="1281" width="9.140625" style="4"/>
    <col min="1282" max="1282" width="2.7109375" style="4" customWidth="1"/>
    <col min="1283" max="1286" width="9.140625" style="4"/>
    <col min="1287" max="1287" width="12.85546875" style="4" customWidth="1"/>
    <col min="1288" max="1289" width="9.140625" style="4"/>
    <col min="1290" max="1290" width="13.28515625" style="4" customWidth="1"/>
    <col min="1291" max="1291" width="16.42578125" style="4" bestFit="1" customWidth="1"/>
    <col min="1292" max="1292" width="2.7109375" style="4" customWidth="1"/>
    <col min="1293" max="1293" width="15.7109375" style="4" customWidth="1"/>
    <col min="1294" max="1294" width="2.7109375" style="4" customWidth="1"/>
    <col min="1295" max="1537" width="9.140625" style="4"/>
    <col min="1538" max="1538" width="2.7109375" style="4" customWidth="1"/>
    <col min="1539" max="1542" width="9.140625" style="4"/>
    <col min="1543" max="1543" width="12.85546875" style="4" customWidth="1"/>
    <col min="1544" max="1545" width="9.140625" style="4"/>
    <col min="1546" max="1546" width="13.28515625" style="4" customWidth="1"/>
    <col min="1547" max="1547" width="16.42578125" style="4" bestFit="1" customWidth="1"/>
    <col min="1548" max="1548" width="2.7109375" style="4" customWidth="1"/>
    <col min="1549" max="1549" width="15.7109375" style="4" customWidth="1"/>
    <col min="1550" max="1550" width="2.7109375" style="4" customWidth="1"/>
    <col min="1551" max="1793" width="9.140625" style="4"/>
    <col min="1794" max="1794" width="2.7109375" style="4" customWidth="1"/>
    <col min="1795" max="1798" width="9.140625" style="4"/>
    <col min="1799" max="1799" width="12.85546875" style="4" customWidth="1"/>
    <col min="1800" max="1801" width="9.140625" style="4"/>
    <col min="1802" max="1802" width="13.28515625" style="4" customWidth="1"/>
    <col min="1803" max="1803" width="16.42578125" style="4" bestFit="1" customWidth="1"/>
    <col min="1804" max="1804" width="2.7109375" style="4" customWidth="1"/>
    <col min="1805" max="1805" width="15.7109375" style="4" customWidth="1"/>
    <col min="1806" max="1806" width="2.7109375" style="4" customWidth="1"/>
    <col min="1807" max="2049" width="9.140625" style="4"/>
    <col min="2050" max="2050" width="2.7109375" style="4" customWidth="1"/>
    <col min="2051" max="2054" width="9.140625" style="4"/>
    <col min="2055" max="2055" width="12.85546875" style="4" customWidth="1"/>
    <col min="2056" max="2057" width="9.140625" style="4"/>
    <col min="2058" max="2058" width="13.28515625" style="4" customWidth="1"/>
    <col min="2059" max="2059" width="16.42578125" style="4" bestFit="1" customWidth="1"/>
    <col min="2060" max="2060" width="2.7109375" style="4" customWidth="1"/>
    <col min="2061" max="2061" width="15.7109375" style="4" customWidth="1"/>
    <col min="2062" max="2062" width="2.7109375" style="4" customWidth="1"/>
    <col min="2063" max="2305" width="9.140625" style="4"/>
    <col min="2306" max="2306" width="2.7109375" style="4" customWidth="1"/>
    <col min="2307" max="2310" width="9.140625" style="4"/>
    <col min="2311" max="2311" width="12.85546875" style="4" customWidth="1"/>
    <col min="2312" max="2313" width="9.140625" style="4"/>
    <col min="2314" max="2314" width="13.28515625" style="4" customWidth="1"/>
    <col min="2315" max="2315" width="16.42578125" style="4" bestFit="1" customWidth="1"/>
    <col min="2316" max="2316" width="2.7109375" style="4" customWidth="1"/>
    <col min="2317" max="2317" width="15.7109375" style="4" customWidth="1"/>
    <col min="2318" max="2318" width="2.7109375" style="4" customWidth="1"/>
    <col min="2319" max="2561" width="9.140625" style="4"/>
    <col min="2562" max="2562" width="2.7109375" style="4" customWidth="1"/>
    <col min="2563" max="2566" width="9.140625" style="4"/>
    <col min="2567" max="2567" width="12.85546875" style="4" customWidth="1"/>
    <col min="2568" max="2569" width="9.140625" style="4"/>
    <col min="2570" max="2570" width="13.28515625" style="4" customWidth="1"/>
    <col min="2571" max="2571" width="16.42578125" style="4" bestFit="1" customWidth="1"/>
    <col min="2572" max="2572" width="2.7109375" style="4" customWidth="1"/>
    <col min="2573" max="2573" width="15.7109375" style="4" customWidth="1"/>
    <col min="2574" max="2574" width="2.7109375" style="4" customWidth="1"/>
    <col min="2575" max="2817" width="9.140625" style="4"/>
    <col min="2818" max="2818" width="2.7109375" style="4" customWidth="1"/>
    <col min="2819" max="2822" width="9.140625" style="4"/>
    <col min="2823" max="2823" width="12.85546875" style="4" customWidth="1"/>
    <col min="2824" max="2825" width="9.140625" style="4"/>
    <col min="2826" max="2826" width="13.28515625" style="4" customWidth="1"/>
    <col min="2827" max="2827" width="16.42578125" style="4" bestFit="1" customWidth="1"/>
    <col min="2828" max="2828" width="2.7109375" style="4" customWidth="1"/>
    <col min="2829" max="2829" width="15.7109375" style="4" customWidth="1"/>
    <col min="2830" max="2830" width="2.7109375" style="4" customWidth="1"/>
    <col min="2831" max="3073" width="9.140625" style="4"/>
    <col min="3074" max="3074" width="2.7109375" style="4" customWidth="1"/>
    <col min="3075" max="3078" width="9.140625" style="4"/>
    <col min="3079" max="3079" width="12.85546875" style="4" customWidth="1"/>
    <col min="3080" max="3081" width="9.140625" style="4"/>
    <col min="3082" max="3082" width="13.28515625" style="4" customWidth="1"/>
    <col min="3083" max="3083" width="16.42578125" style="4" bestFit="1" customWidth="1"/>
    <col min="3084" max="3084" width="2.7109375" style="4" customWidth="1"/>
    <col min="3085" max="3085" width="15.7109375" style="4" customWidth="1"/>
    <col min="3086" max="3086" width="2.7109375" style="4" customWidth="1"/>
    <col min="3087" max="3329" width="9.140625" style="4"/>
    <col min="3330" max="3330" width="2.7109375" style="4" customWidth="1"/>
    <col min="3331" max="3334" width="9.140625" style="4"/>
    <col min="3335" max="3335" width="12.85546875" style="4" customWidth="1"/>
    <col min="3336" max="3337" width="9.140625" style="4"/>
    <col min="3338" max="3338" width="13.28515625" style="4" customWidth="1"/>
    <col min="3339" max="3339" width="16.42578125" style="4" bestFit="1" customWidth="1"/>
    <col min="3340" max="3340" width="2.7109375" style="4" customWidth="1"/>
    <col min="3341" max="3341" width="15.7109375" style="4" customWidth="1"/>
    <col min="3342" max="3342" width="2.7109375" style="4" customWidth="1"/>
    <col min="3343" max="3585" width="9.140625" style="4"/>
    <col min="3586" max="3586" width="2.7109375" style="4" customWidth="1"/>
    <col min="3587" max="3590" width="9.140625" style="4"/>
    <col min="3591" max="3591" width="12.85546875" style="4" customWidth="1"/>
    <col min="3592" max="3593" width="9.140625" style="4"/>
    <col min="3594" max="3594" width="13.28515625" style="4" customWidth="1"/>
    <col min="3595" max="3595" width="16.42578125" style="4" bestFit="1" customWidth="1"/>
    <col min="3596" max="3596" width="2.7109375" style="4" customWidth="1"/>
    <col min="3597" max="3597" width="15.7109375" style="4" customWidth="1"/>
    <col min="3598" max="3598" width="2.7109375" style="4" customWidth="1"/>
    <col min="3599" max="3841" width="9.140625" style="4"/>
    <col min="3842" max="3842" width="2.7109375" style="4" customWidth="1"/>
    <col min="3843" max="3846" width="9.140625" style="4"/>
    <col min="3847" max="3847" width="12.85546875" style="4" customWidth="1"/>
    <col min="3848" max="3849" width="9.140625" style="4"/>
    <col min="3850" max="3850" width="13.28515625" style="4" customWidth="1"/>
    <col min="3851" max="3851" width="16.42578125" style="4" bestFit="1" customWidth="1"/>
    <col min="3852" max="3852" width="2.7109375" style="4" customWidth="1"/>
    <col min="3853" max="3853" width="15.7109375" style="4" customWidth="1"/>
    <col min="3854" max="3854" width="2.7109375" style="4" customWidth="1"/>
    <col min="3855" max="4097" width="9.140625" style="4"/>
    <col min="4098" max="4098" width="2.7109375" style="4" customWidth="1"/>
    <col min="4099" max="4102" width="9.140625" style="4"/>
    <col min="4103" max="4103" width="12.85546875" style="4" customWidth="1"/>
    <col min="4104" max="4105" width="9.140625" style="4"/>
    <col min="4106" max="4106" width="13.28515625" style="4" customWidth="1"/>
    <col min="4107" max="4107" width="16.42578125" style="4" bestFit="1" customWidth="1"/>
    <col min="4108" max="4108" width="2.7109375" style="4" customWidth="1"/>
    <col min="4109" max="4109" width="15.7109375" style="4" customWidth="1"/>
    <col min="4110" max="4110" width="2.7109375" style="4" customWidth="1"/>
    <col min="4111" max="4353" width="9.140625" style="4"/>
    <col min="4354" max="4354" width="2.7109375" style="4" customWidth="1"/>
    <col min="4355" max="4358" width="9.140625" style="4"/>
    <col min="4359" max="4359" width="12.85546875" style="4" customWidth="1"/>
    <col min="4360" max="4361" width="9.140625" style="4"/>
    <col min="4362" max="4362" width="13.28515625" style="4" customWidth="1"/>
    <col min="4363" max="4363" width="16.42578125" style="4" bestFit="1" customWidth="1"/>
    <col min="4364" max="4364" width="2.7109375" style="4" customWidth="1"/>
    <col min="4365" max="4365" width="15.7109375" style="4" customWidth="1"/>
    <col min="4366" max="4366" width="2.7109375" style="4" customWidth="1"/>
    <col min="4367" max="4609" width="9.140625" style="4"/>
    <col min="4610" max="4610" width="2.7109375" style="4" customWidth="1"/>
    <col min="4611" max="4614" width="9.140625" style="4"/>
    <col min="4615" max="4615" width="12.85546875" style="4" customWidth="1"/>
    <col min="4616" max="4617" width="9.140625" style="4"/>
    <col min="4618" max="4618" width="13.28515625" style="4" customWidth="1"/>
    <col min="4619" max="4619" width="16.42578125" style="4" bestFit="1" customWidth="1"/>
    <col min="4620" max="4620" width="2.7109375" style="4" customWidth="1"/>
    <col min="4621" max="4621" width="15.7109375" style="4" customWidth="1"/>
    <col min="4622" max="4622" width="2.7109375" style="4" customWidth="1"/>
    <col min="4623" max="4865" width="9.140625" style="4"/>
    <col min="4866" max="4866" width="2.7109375" style="4" customWidth="1"/>
    <col min="4867" max="4870" width="9.140625" style="4"/>
    <col min="4871" max="4871" width="12.85546875" style="4" customWidth="1"/>
    <col min="4872" max="4873" width="9.140625" style="4"/>
    <col min="4874" max="4874" width="13.28515625" style="4" customWidth="1"/>
    <col min="4875" max="4875" width="16.42578125" style="4" bestFit="1" customWidth="1"/>
    <col min="4876" max="4876" width="2.7109375" style="4" customWidth="1"/>
    <col min="4877" max="4877" width="15.7109375" style="4" customWidth="1"/>
    <col min="4878" max="4878" width="2.7109375" style="4" customWidth="1"/>
    <col min="4879" max="5121" width="9.140625" style="4"/>
    <col min="5122" max="5122" width="2.7109375" style="4" customWidth="1"/>
    <col min="5123" max="5126" width="9.140625" style="4"/>
    <col min="5127" max="5127" width="12.85546875" style="4" customWidth="1"/>
    <col min="5128" max="5129" width="9.140625" style="4"/>
    <col min="5130" max="5130" width="13.28515625" style="4" customWidth="1"/>
    <col min="5131" max="5131" width="16.42578125" style="4" bestFit="1" customWidth="1"/>
    <col min="5132" max="5132" width="2.7109375" style="4" customWidth="1"/>
    <col min="5133" max="5133" width="15.7109375" style="4" customWidth="1"/>
    <col min="5134" max="5134" width="2.7109375" style="4" customWidth="1"/>
    <col min="5135" max="5377" width="9.140625" style="4"/>
    <col min="5378" max="5378" width="2.7109375" style="4" customWidth="1"/>
    <col min="5379" max="5382" width="9.140625" style="4"/>
    <col min="5383" max="5383" width="12.85546875" style="4" customWidth="1"/>
    <col min="5384" max="5385" width="9.140625" style="4"/>
    <col min="5386" max="5386" width="13.28515625" style="4" customWidth="1"/>
    <col min="5387" max="5387" width="16.42578125" style="4" bestFit="1" customWidth="1"/>
    <col min="5388" max="5388" width="2.7109375" style="4" customWidth="1"/>
    <col min="5389" max="5389" width="15.7109375" style="4" customWidth="1"/>
    <col min="5390" max="5390" width="2.7109375" style="4" customWidth="1"/>
    <col min="5391" max="5633" width="9.140625" style="4"/>
    <col min="5634" max="5634" width="2.7109375" style="4" customWidth="1"/>
    <col min="5635" max="5638" width="9.140625" style="4"/>
    <col min="5639" max="5639" width="12.85546875" style="4" customWidth="1"/>
    <col min="5640" max="5641" width="9.140625" style="4"/>
    <col min="5642" max="5642" width="13.28515625" style="4" customWidth="1"/>
    <col min="5643" max="5643" width="16.42578125" style="4" bestFit="1" customWidth="1"/>
    <col min="5644" max="5644" width="2.7109375" style="4" customWidth="1"/>
    <col min="5645" max="5645" width="15.7109375" style="4" customWidth="1"/>
    <col min="5646" max="5646" width="2.7109375" style="4" customWidth="1"/>
    <col min="5647" max="5889" width="9.140625" style="4"/>
    <col min="5890" max="5890" width="2.7109375" style="4" customWidth="1"/>
    <col min="5891" max="5894" width="9.140625" style="4"/>
    <col min="5895" max="5895" width="12.85546875" style="4" customWidth="1"/>
    <col min="5896" max="5897" width="9.140625" style="4"/>
    <col min="5898" max="5898" width="13.28515625" style="4" customWidth="1"/>
    <col min="5899" max="5899" width="16.42578125" style="4" bestFit="1" customWidth="1"/>
    <col min="5900" max="5900" width="2.7109375" style="4" customWidth="1"/>
    <col min="5901" max="5901" width="15.7109375" style="4" customWidth="1"/>
    <col min="5902" max="5902" width="2.7109375" style="4" customWidth="1"/>
    <col min="5903" max="6145" width="9.140625" style="4"/>
    <col min="6146" max="6146" width="2.7109375" style="4" customWidth="1"/>
    <col min="6147" max="6150" width="9.140625" style="4"/>
    <col min="6151" max="6151" width="12.85546875" style="4" customWidth="1"/>
    <col min="6152" max="6153" width="9.140625" style="4"/>
    <col min="6154" max="6154" width="13.28515625" style="4" customWidth="1"/>
    <col min="6155" max="6155" width="16.42578125" style="4" bestFit="1" customWidth="1"/>
    <col min="6156" max="6156" width="2.7109375" style="4" customWidth="1"/>
    <col min="6157" max="6157" width="15.7109375" style="4" customWidth="1"/>
    <col min="6158" max="6158" width="2.7109375" style="4" customWidth="1"/>
    <col min="6159" max="6401" width="9.140625" style="4"/>
    <col min="6402" max="6402" width="2.7109375" style="4" customWidth="1"/>
    <col min="6403" max="6406" width="9.140625" style="4"/>
    <col min="6407" max="6407" width="12.85546875" style="4" customWidth="1"/>
    <col min="6408" max="6409" width="9.140625" style="4"/>
    <col min="6410" max="6410" width="13.28515625" style="4" customWidth="1"/>
    <col min="6411" max="6411" width="16.42578125" style="4" bestFit="1" customWidth="1"/>
    <col min="6412" max="6412" width="2.7109375" style="4" customWidth="1"/>
    <col min="6413" max="6413" width="15.7109375" style="4" customWidth="1"/>
    <col min="6414" max="6414" width="2.7109375" style="4" customWidth="1"/>
    <col min="6415" max="6657" width="9.140625" style="4"/>
    <col min="6658" max="6658" width="2.7109375" style="4" customWidth="1"/>
    <col min="6659" max="6662" width="9.140625" style="4"/>
    <col min="6663" max="6663" width="12.85546875" style="4" customWidth="1"/>
    <col min="6664" max="6665" width="9.140625" style="4"/>
    <col min="6666" max="6666" width="13.28515625" style="4" customWidth="1"/>
    <col min="6667" max="6667" width="16.42578125" style="4" bestFit="1" customWidth="1"/>
    <col min="6668" max="6668" width="2.7109375" style="4" customWidth="1"/>
    <col min="6669" max="6669" width="15.7109375" style="4" customWidth="1"/>
    <col min="6670" max="6670" width="2.7109375" style="4" customWidth="1"/>
    <col min="6671" max="6913" width="9.140625" style="4"/>
    <col min="6914" max="6914" width="2.7109375" style="4" customWidth="1"/>
    <col min="6915" max="6918" width="9.140625" style="4"/>
    <col min="6919" max="6919" width="12.85546875" style="4" customWidth="1"/>
    <col min="6920" max="6921" width="9.140625" style="4"/>
    <col min="6922" max="6922" width="13.28515625" style="4" customWidth="1"/>
    <col min="6923" max="6923" width="16.42578125" style="4" bestFit="1" customWidth="1"/>
    <col min="6924" max="6924" width="2.7109375" style="4" customWidth="1"/>
    <col min="6925" max="6925" width="15.7109375" style="4" customWidth="1"/>
    <col min="6926" max="6926" width="2.7109375" style="4" customWidth="1"/>
    <col min="6927" max="7169" width="9.140625" style="4"/>
    <col min="7170" max="7170" width="2.7109375" style="4" customWidth="1"/>
    <col min="7171" max="7174" width="9.140625" style="4"/>
    <col min="7175" max="7175" width="12.85546875" style="4" customWidth="1"/>
    <col min="7176" max="7177" width="9.140625" style="4"/>
    <col min="7178" max="7178" width="13.28515625" style="4" customWidth="1"/>
    <col min="7179" max="7179" width="16.42578125" style="4" bestFit="1" customWidth="1"/>
    <col min="7180" max="7180" width="2.7109375" style="4" customWidth="1"/>
    <col min="7181" max="7181" width="15.7109375" style="4" customWidth="1"/>
    <col min="7182" max="7182" width="2.7109375" style="4" customWidth="1"/>
    <col min="7183" max="7425" width="9.140625" style="4"/>
    <col min="7426" max="7426" width="2.7109375" style="4" customWidth="1"/>
    <col min="7427" max="7430" width="9.140625" style="4"/>
    <col min="7431" max="7431" width="12.85546875" style="4" customWidth="1"/>
    <col min="7432" max="7433" width="9.140625" style="4"/>
    <col min="7434" max="7434" width="13.28515625" style="4" customWidth="1"/>
    <col min="7435" max="7435" width="16.42578125" style="4" bestFit="1" customWidth="1"/>
    <col min="7436" max="7436" width="2.7109375" style="4" customWidth="1"/>
    <col min="7437" max="7437" width="15.7109375" style="4" customWidth="1"/>
    <col min="7438" max="7438" width="2.7109375" style="4" customWidth="1"/>
    <col min="7439" max="7681" width="9.140625" style="4"/>
    <col min="7682" max="7682" width="2.7109375" style="4" customWidth="1"/>
    <col min="7683" max="7686" width="9.140625" style="4"/>
    <col min="7687" max="7687" width="12.85546875" style="4" customWidth="1"/>
    <col min="7688" max="7689" width="9.140625" style="4"/>
    <col min="7690" max="7690" width="13.28515625" style="4" customWidth="1"/>
    <col min="7691" max="7691" width="16.42578125" style="4" bestFit="1" customWidth="1"/>
    <col min="7692" max="7692" width="2.7109375" style="4" customWidth="1"/>
    <col min="7693" max="7693" width="15.7109375" style="4" customWidth="1"/>
    <col min="7694" max="7694" width="2.7109375" style="4" customWidth="1"/>
    <col min="7695" max="7937" width="9.140625" style="4"/>
    <col min="7938" max="7938" width="2.7109375" style="4" customWidth="1"/>
    <col min="7939" max="7942" width="9.140625" style="4"/>
    <col min="7943" max="7943" width="12.85546875" style="4" customWidth="1"/>
    <col min="7944" max="7945" width="9.140625" style="4"/>
    <col min="7946" max="7946" width="13.28515625" style="4" customWidth="1"/>
    <col min="7947" max="7947" width="16.42578125" style="4" bestFit="1" customWidth="1"/>
    <col min="7948" max="7948" width="2.7109375" style="4" customWidth="1"/>
    <col min="7949" max="7949" width="15.7109375" style="4" customWidth="1"/>
    <col min="7950" max="7950" width="2.7109375" style="4" customWidth="1"/>
    <col min="7951" max="8193" width="9.140625" style="4"/>
    <col min="8194" max="8194" width="2.7109375" style="4" customWidth="1"/>
    <col min="8195" max="8198" width="9.140625" style="4"/>
    <col min="8199" max="8199" width="12.85546875" style="4" customWidth="1"/>
    <col min="8200" max="8201" width="9.140625" style="4"/>
    <col min="8202" max="8202" width="13.28515625" style="4" customWidth="1"/>
    <col min="8203" max="8203" width="16.42578125" style="4" bestFit="1" customWidth="1"/>
    <col min="8204" max="8204" width="2.7109375" style="4" customWidth="1"/>
    <col min="8205" max="8205" width="15.7109375" style="4" customWidth="1"/>
    <col min="8206" max="8206" width="2.7109375" style="4" customWidth="1"/>
    <col min="8207" max="8449" width="9.140625" style="4"/>
    <col min="8450" max="8450" width="2.7109375" style="4" customWidth="1"/>
    <col min="8451" max="8454" width="9.140625" style="4"/>
    <col min="8455" max="8455" width="12.85546875" style="4" customWidth="1"/>
    <col min="8456" max="8457" width="9.140625" style="4"/>
    <col min="8458" max="8458" width="13.28515625" style="4" customWidth="1"/>
    <col min="8459" max="8459" width="16.42578125" style="4" bestFit="1" customWidth="1"/>
    <col min="8460" max="8460" width="2.7109375" style="4" customWidth="1"/>
    <col min="8461" max="8461" width="15.7109375" style="4" customWidth="1"/>
    <col min="8462" max="8462" width="2.7109375" style="4" customWidth="1"/>
    <col min="8463" max="8705" width="9.140625" style="4"/>
    <col min="8706" max="8706" width="2.7109375" style="4" customWidth="1"/>
    <col min="8707" max="8710" width="9.140625" style="4"/>
    <col min="8711" max="8711" width="12.85546875" style="4" customWidth="1"/>
    <col min="8712" max="8713" width="9.140625" style="4"/>
    <col min="8714" max="8714" width="13.28515625" style="4" customWidth="1"/>
    <col min="8715" max="8715" width="16.42578125" style="4" bestFit="1" customWidth="1"/>
    <col min="8716" max="8716" width="2.7109375" style="4" customWidth="1"/>
    <col min="8717" max="8717" width="15.7109375" style="4" customWidth="1"/>
    <col min="8718" max="8718" width="2.7109375" style="4" customWidth="1"/>
    <col min="8719" max="8961" width="9.140625" style="4"/>
    <col min="8962" max="8962" width="2.7109375" style="4" customWidth="1"/>
    <col min="8963" max="8966" width="9.140625" style="4"/>
    <col min="8967" max="8967" width="12.85546875" style="4" customWidth="1"/>
    <col min="8968" max="8969" width="9.140625" style="4"/>
    <col min="8970" max="8970" width="13.28515625" style="4" customWidth="1"/>
    <col min="8971" max="8971" width="16.42578125" style="4" bestFit="1" customWidth="1"/>
    <col min="8972" max="8972" width="2.7109375" style="4" customWidth="1"/>
    <col min="8973" max="8973" width="15.7109375" style="4" customWidth="1"/>
    <col min="8974" max="8974" width="2.7109375" style="4" customWidth="1"/>
    <col min="8975" max="9217" width="9.140625" style="4"/>
    <col min="9218" max="9218" width="2.7109375" style="4" customWidth="1"/>
    <col min="9219" max="9222" width="9.140625" style="4"/>
    <col min="9223" max="9223" width="12.85546875" style="4" customWidth="1"/>
    <col min="9224" max="9225" width="9.140625" style="4"/>
    <col min="9226" max="9226" width="13.28515625" style="4" customWidth="1"/>
    <col min="9227" max="9227" width="16.42578125" style="4" bestFit="1" customWidth="1"/>
    <col min="9228" max="9228" width="2.7109375" style="4" customWidth="1"/>
    <col min="9229" max="9229" width="15.7109375" style="4" customWidth="1"/>
    <col min="9230" max="9230" width="2.7109375" style="4" customWidth="1"/>
    <col min="9231" max="9473" width="9.140625" style="4"/>
    <col min="9474" max="9474" width="2.7109375" style="4" customWidth="1"/>
    <col min="9475" max="9478" width="9.140625" style="4"/>
    <col min="9479" max="9479" width="12.85546875" style="4" customWidth="1"/>
    <col min="9480" max="9481" width="9.140625" style="4"/>
    <col min="9482" max="9482" width="13.28515625" style="4" customWidth="1"/>
    <col min="9483" max="9483" width="16.42578125" style="4" bestFit="1" customWidth="1"/>
    <col min="9484" max="9484" width="2.7109375" style="4" customWidth="1"/>
    <col min="9485" max="9485" width="15.7109375" style="4" customWidth="1"/>
    <col min="9486" max="9486" width="2.7109375" style="4" customWidth="1"/>
    <col min="9487" max="9729" width="9.140625" style="4"/>
    <col min="9730" max="9730" width="2.7109375" style="4" customWidth="1"/>
    <col min="9731" max="9734" width="9.140625" style="4"/>
    <col min="9735" max="9735" width="12.85546875" style="4" customWidth="1"/>
    <col min="9736" max="9737" width="9.140625" style="4"/>
    <col min="9738" max="9738" width="13.28515625" style="4" customWidth="1"/>
    <col min="9739" max="9739" width="16.42578125" style="4" bestFit="1" customWidth="1"/>
    <col min="9740" max="9740" width="2.7109375" style="4" customWidth="1"/>
    <col min="9741" max="9741" width="15.7109375" style="4" customWidth="1"/>
    <col min="9742" max="9742" width="2.7109375" style="4" customWidth="1"/>
    <col min="9743" max="9985" width="9.140625" style="4"/>
    <col min="9986" max="9986" width="2.7109375" style="4" customWidth="1"/>
    <col min="9987" max="9990" width="9.140625" style="4"/>
    <col min="9991" max="9991" width="12.85546875" style="4" customWidth="1"/>
    <col min="9992" max="9993" width="9.140625" style="4"/>
    <col min="9994" max="9994" width="13.28515625" style="4" customWidth="1"/>
    <col min="9995" max="9995" width="16.42578125" style="4" bestFit="1" customWidth="1"/>
    <col min="9996" max="9996" width="2.7109375" style="4" customWidth="1"/>
    <col min="9997" max="9997" width="15.7109375" style="4" customWidth="1"/>
    <col min="9998" max="9998" width="2.7109375" style="4" customWidth="1"/>
    <col min="9999" max="10241" width="9.140625" style="4"/>
    <col min="10242" max="10242" width="2.7109375" style="4" customWidth="1"/>
    <col min="10243" max="10246" width="9.140625" style="4"/>
    <col min="10247" max="10247" width="12.85546875" style="4" customWidth="1"/>
    <col min="10248" max="10249" width="9.140625" style="4"/>
    <col min="10250" max="10250" width="13.28515625" style="4" customWidth="1"/>
    <col min="10251" max="10251" width="16.42578125" style="4" bestFit="1" customWidth="1"/>
    <col min="10252" max="10252" width="2.7109375" style="4" customWidth="1"/>
    <col min="10253" max="10253" width="15.7109375" style="4" customWidth="1"/>
    <col min="10254" max="10254" width="2.7109375" style="4" customWidth="1"/>
    <col min="10255" max="10497" width="9.140625" style="4"/>
    <col min="10498" max="10498" width="2.7109375" style="4" customWidth="1"/>
    <col min="10499" max="10502" width="9.140625" style="4"/>
    <col min="10503" max="10503" width="12.85546875" style="4" customWidth="1"/>
    <col min="10504" max="10505" width="9.140625" style="4"/>
    <col min="10506" max="10506" width="13.28515625" style="4" customWidth="1"/>
    <col min="10507" max="10507" width="16.42578125" style="4" bestFit="1" customWidth="1"/>
    <col min="10508" max="10508" width="2.7109375" style="4" customWidth="1"/>
    <col min="10509" max="10509" width="15.7109375" style="4" customWidth="1"/>
    <col min="10510" max="10510" width="2.7109375" style="4" customWidth="1"/>
    <col min="10511" max="10753" width="9.140625" style="4"/>
    <col min="10754" max="10754" width="2.7109375" style="4" customWidth="1"/>
    <col min="10755" max="10758" width="9.140625" style="4"/>
    <col min="10759" max="10759" width="12.85546875" style="4" customWidth="1"/>
    <col min="10760" max="10761" width="9.140625" style="4"/>
    <col min="10762" max="10762" width="13.28515625" style="4" customWidth="1"/>
    <col min="10763" max="10763" width="16.42578125" style="4" bestFit="1" customWidth="1"/>
    <col min="10764" max="10764" width="2.7109375" style="4" customWidth="1"/>
    <col min="10765" max="10765" width="15.7109375" style="4" customWidth="1"/>
    <col min="10766" max="10766" width="2.7109375" style="4" customWidth="1"/>
    <col min="10767" max="11009" width="9.140625" style="4"/>
    <col min="11010" max="11010" width="2.7109375" style="4" customWidth="1"/>
    <col min="11011" max="11014" width="9.140625" style="4"/>
    <col min="11015" max="11015" width="12.85546875" style="4" customWidth="1"/>
    <col min="11016" max="11017" width="9.140625" style="4"/>
    <col min="11018" max="11018" width="13.28515625" style="4" customWidth="1"/>
    <col min="11019" max="11019" width="16.42578125" style="4" bestFit="1" customWidth="1"/>
    <col min="11020" max="11020" width="2.7109375" style="4" customWidth="1"/>
    <col min="11021" max="11021" width="15.7109375" style="4" customWidth="1"/>
    <col min="11022" max="11022" width="2.7109375" style="4" customWidth="1"/>
    <col min="11023" max="11265" width="9.140625" style="4"/>
    <col min="11266" max="11266" width="2.7109375" style="4" customWidth="1"/>
    <col min="11267" max="11270" width="9.140625" style="4"/>
    <col min="11271" max="11271" width="12.85546875" style="4" customWidth="1"/>
    <col min="11272" max="11273" width="9.140625" style="4"/>
    <col min="11274" max="11274" width="13.28515625" style="4" customWidth="1"/>
    <col min="11275" max="11275" width="16.42578125" style="4" bestFit="1" customWidth="1"/>
    <col min="11276" max="11276" width="2.7109375" style="4" customWidth="1"/>
    <col min="11277" max="11277" width="15.7109375" style="4" customWidth="1"/>
    <col min="11278" max="11278" width="2.7109375" style="4" customWidth="1"/>
    <col min="11279" max="11521" width="9.140625" style="4"/>
    <col min="11522" max="11522" width="2.7109375" style="4" customWidth="1"/>
    <col min="11523" max="11526" width="9.140625" style="4"/>
    <col min="11527" max="11527" width="12.85546875" style="4" customWidth="1"/>
    <col min="11528" max="11529" width="9.140625" style="4"/>
    <col min="11530" max="11530" width="13.28515625" style="4" customWidth="1"/>
    <col min="11531" max="11531" width="16.42578125" style="4" bestFit="1" customWidth="1"/>
    <col min="11532" max="11532" width="2.7109375" style="4" customWidth="1"/>
    <col min="11533" max="11533" width="15.7109375" style="4" customWidth="1"/>
    <col min="11534" max="11534" width="2.7109375" style="4" customWidth="1"/>
    <col min="11535" max="11777" width="9.140625" style="4"/>
    <col min="11778" max="11778" width="2.7109375" style="4" customWidth="1"/>
    <col min="11779" max="11782" width="9.140625" style="4"/>
    <col min="11783" max="11783" width="12.85546875" style="4" customWidth="1"/>
    <col min="11784" max="11785" width="9.140625" style="4"/>
    <col min="11786" max="11786" width="13.28515625" style="4" customWidth="1"/>
    <col min="11787" max="11787" width="16.42578125" style="4" bestFit="1" customWidth="1"/>
    <col min="11788" max="11788" width="2.7109375" style="4" customWidth="1"/>
    <col min="11789" max="11789" width="15.7109375" style="4" customWidth="1"/>
    <col min="11790" max="11790" width="2.7109375" style="4" customWidth="1"/>
    <col min="11791" max="12033" width="9.140625" style="4"/>
    <col min="12034" max="12034" width="2.7109375" style="4" customWidth="1"/>
    <col min="12035" max="12038" width="9.140625" style="4"/>
    <col min="12039" max="12039" width="12.85546875" style="4" customWidth="1"/>
    <col min="12040" max="12041" width="9.140625" style="4"/>
    <col min="12042" max="12042" width="13.28515625" style="4" customWidth="1"/>
    <col min="12043" max="12043" width="16.42578125" style="4" bestFit="1" customWidth="1"/>
    <col min="12044" max="12044" width="2.7109375" style="4" customWidth="1"/>
    <col min="12045" max="12045" width="15.7109375" style="4" customWidth="1"/>
    <col min="12046" max="12046" width="2.7109375" style="4" customWidth="1"/>
    <col min="12047" max="12289" width="9.140625" style="4"/>
    <col min="12290" max="12290" width="2.7109375" style="4" customWidth="1"/>
    <col min="12291" max="12294" width="9.140625" style="4"/>
    <col min="12295" max="12295" width="12.85546875" style="4" customWidth="1"/>
    <col min="12296" max="12297" width="9.140625" style="4"/>
    <col min="12298" max="12298" width="13.28515625" style="4" customWidth="1"/>
    <col min="12299" max="12299" width="16.42578125" style="4" bestFit="1" customWidth="1"/>
    <col min="12300" max="12300" width="2.7109375" style="4" customWidth="1"/>
    <col min="12301" max="12301" width="15.7109375" style="4" customWidth="1"/>
    <col min="12302" max="12302" width="2.7109375" style="4" customWidth="1"/>
    <col min="12303" max="12545" width="9.140625" style="4"/>
    <col min="12546" max="12546" width="2.7109375" style="4" customWidth="1"/>
    <col min="12547" max="12550" width="9.140625" style="4"/>
    <col min="12551" max="12551" width="12.85546875" style="4" customWidth="1"/>
    <col min="12552" max="12553" width="9.140625" style="4"/>
    <col min="12554" max="12554" width="13.28515625" style="4" customWidth="1"/>
    <col min="12555" max="12555" width="16.42578125" style="4" bestFit="1" customWidth="1"/>
    <col min="12556" max="12556" width="2.7109375" style="4" customWidth="1"/>
    <col min="12557" max="12557" width="15.7109375" style="4" customWidth="1"/>
    <col min="12558" max="12558" width="2.7109375" style="4" customWidth="1"/>
    <col min="12559" max="12801" width="9.140625" style="4"/>
    <col min="12802" max="12802" width="2.7109375" style="4" customWidth="1"/>
    <col min="12803" max="12806" width="9.140625" style="4"/>
    <col min="12807" max="12807" width="12.85546875" style="4" customWidth="1"/>
    <col min="12808" max="12809" width="9.140625" style="4"/>
    <col min="12810" max="12810" width="13.28515625" style="4" customWidth="1"/>
    <col min="12811" max="12811" width="16.42578125" style="4" bestFit="1" customWidth="1"/>
    <col min="12812" max="12812" width="2.7109375" style="4" customWidth="1"/>
    <col min="12813" max="12813" width="15.7109375" style="4" customWidth="1"/>
    <col min="12814" max="12814" width="2.7109375" style="4" customWidth="1"/>
    <col min="12815" max="13057" width="9.140625" style="4"/>
    <col min="13058" max="13058" width="2.7109375" style="4" customWidth="1"/>
    <col min="13059" max="13062" width="9.140625" style="4"/>
    <col min="13063" max="13063" width="12.85546875" style="4" customWidth="1"/>
    <col min="13064" max="13065" width="9.140625" style="4"/>
    <col min="13066" max="13066" width="13.28515625" style="4" customWidth="1"/>
    <col min="13067" max="13067" width="16.42578125" style="4" bestFit="1" customWidth="1"/>
    <col min="13068" max="13068" width="2.7109375" style="4" customWidth="1"/>
    <col min="13069" max="13069" width="15.7109375" style="4" customWidth="1"/>
    <col min="13070" max="13070" width="2.7109375" style="4" customWidth="1"/>
    <col min="13071" max="13313" width="9.140625" style="4"/>
    <col min="13314" max="13314" width="2.7109375" style="4" customWidth="1"/>
    <col min="13315" max="13318" width="9.140625" style="4"/>
    <col min="13319" max="13319" width="12.85546875" style="4" customWidth="1"/>
    <col min="13320" max="13321" width="9.140625" style="4"/>
    <col min="13322" max="13322" width="13.28515625" style="4" customWidth="1"/>
    <col min="13323" max="13323" width="16.42578125" style="4" bestFit="1" customWidth="1"/>
    <col min="13324" max="13324" width="2.7109375" style="4" customWidth="1"/>
    <col min="13325" max="13325" width="15.7109375" style="4" customWidth="1"/>
    <col min="13326" max="13326" width="2.7109375" style="4" customWidth="1"/>
    <col min="13327" max="13569" width="9.140625" style="4"/>
    <col min="13570" max="13570" width="2.7109375" style="4" customWidth="1"/>
    <col min="13571" max="13574" width="9.140625" style="4"/>
    <col min="13575" max="13575" width="12.85546875" style="4" customWidth="1"/>
    <col min="13576" max="13577" width="9.140625" style="4"/>
    <col min="13578" max="13578" width="13.28515625" style="4" customWidth="1"/>
    <col min="13579" max="13579" width="16.42578125" style="4" bestFit="1" customWidth="1"/>
    <col min="13580" max="13580" width="2.7109375" style="4" customWidth="1"/>
    <col min="13581" max="13581" width="15.7109375" style="4" customWidth="1"/>
    <col min="13582" max="13582" width="2.7109375" style="4" customWidth="1"/>
    <col min="13583" max="13825" width="9.140625" style="4"/>
    <col min="13826" max="13826" width="2.7109375" style="4" customWidth="1"/>
    <col min="13827" max="13830" width="9.140625" style="4"/>
    <col min="13831" max="13831" width="12.85546875" style="4" customWidth="1"/>
    <col min="13832" max="13833" width="9.140625" style="4"/>
    <col min="13834" max="13834" width="13.28515625" style="4" customWidth="1"/>
    <col min="13835" max="13835" width="16.42578125" style="4" bestFit="1" customWidth="1"/>
    <col min="13836" max="13836" width="2.7109375" style="4" customWidth="1"/>
    <col min="13837" max="13837" width="15.7109375" style="4" customWidth="1"/>
    <col min="13838" max="13838" width="2.7109375" style="4" customWidth="1"/>
    <col min="13839" max="14081" width="9.140625" style="4"/>
    <col min="14082" max="14082" width="2.7109375" style="4" customWidth="1"/>
    <col min="14083" max="14086" width="9.140625" style="4"/>
    <col min="14087" max="14087" width="12.85546875" style="4" customWidth="1"/>
    <col min="14088" max="14089" width="9.140625" style="4"/>
    <col min="14090" max="14090" width="13.28515625" style="4" customWidth="1"/>
    <col min="14091" max="14091" width="16.42578125" style="4" bestFit="1" customWidth="1"/>
    <col min="14092" max="14092" width="2.7109375" style="4" customWidth="1"/>
    <col min="14093" max="14093" width="15.7109375" style="4" customWidth="1"/>
    <col min="14094" max="14094" width="2.7109375" style="4" customWidth="1"/>
    <col min="14095" max="14337" width="9.140625" style="4"/>
    <col min="14338" max="14338" width="2.7109375" style="4" customWidth="1"/>
    <col min="14339" max="14342" width="9.140625" style="4"/>
    <col min="14343" max="14343" width="12.85546875" style="4" customWidth="1"/>
    <col min="14344" max="14345" width="9.140625" style="4"/>
    <col min="14346" max="14346" width="13.28515625" style="4" customWidth="1"/>
    <col min="14347" max="14347" width="16.42578125" style="4" bestFit="1" customWidth="1"/>
    <col min="14348" max="14348" width="2.7109375" style="4" customWidth="1"/>
    <col min="14349" max="14349" width="15.7109375" style="4" customWidth="1"/>
    <col min="14350" max="14350" width="2.7109375" style="4" customWidth="1"/>
    <col min="14351" max="14593" width="9.140625" style="4"/>
    <col min="14594" max="14594" width="2.7109375" style="4" customWidth="1"/>
    <col min="14595" max="14598" width="9.140625" style="4"/>
    <col min="14599" max="14599" width="12.85546875" style="4" customWidth="1"/>
    <col min="14600" max="14601" width="9.140625" style="4"/>
    <col min="14602" max="14602" width="13.28515625" style="4" customWidth="1"/>
    <col min="14603" max="14603" width="16.42578125" style="4" bestFit="1" customWidth="1"/>
    <col min="14604" max="14604" width="2.7109375" style="4" customWidth="1"/>
    <col min="14605" max="14605" width="15.7109375" style="4" customWidth="1"/>
    <col min="14606" max="14606" width="2.7109375" style="4" customWidth="1"/>
    <col min="14607" max="14849" width="9.140625" style="4"/>
    <col min="14850" max="14850" width="2.7109375" style="4" customWidth="1"/>
    <col min="14851" max="14854" width="9.140625" style="4"/>
    <col min="14855" max="14855" width="12.85546875" style="4" customWidth="1"/>
    <col min="14856" max="14857" width="9.140625" style="4"/>
    <col min="14858" max="14858" width="13.28515625" style="4" customWidth="1"/>
    <col min="14859" max="14859" width="16.42578125" style="4" bestFit="1" customWidth="1"/>
    <col min="14860" max="14860" width="2.7109375" style="4" customWidth="1"/>
    <col min="14861" max="14861" width="15.7109375" style="4" customWidth="1"/>
    <col min="14862" max="14862" width="2.7109375" style="4" customWidth="1"/>
    <col min="14863" max="15105" width="9.140625" style="4"/>
    <col min="15106" max="15106" width="2.7109375" style="4" customWidth="1"/>
    <col min="15107" max="15110" width="9.140625" style="4"/>
    <col min="15111" max="15111" width="12.85546875" style="4" customWidth="1"/>
    <col min="15112" max="15113" width="9.140625" style="4"/>
    <col min="15114" max="15114" width="13.28515625" style="4" customWidth="1"/>
    <col min="15115" max="15115" width="16.42578125" style="4" bestFit="1" customWidth="1"/>
    <col min="15116" max="15116" width="2.7109375" style="4" customWidth="1"/>
    <col min="15117" max="15117" width="15.7109375" style="4" customWidth="1"/>
    <col min="15118" max="15118" width="2.7109375" style="4" customWidth="1"/>
    <col min="15119" max="15361" width="9.140625" style="4"/>
    <col min="15362" max="15362" width="2.7109375" style="4" customWidth="1"/>
    <col min="15363" max="15366" width="9.140625" style="4"/>
    <col min="15367" max="15367" width="12.85546875" style="4" customWidth="1"/>
    <col min="15368" max="15369" width="9.140625" style="4"/>
    <col min="15370" max="15370" width="13.28515625" style="4" customWidth="1"/>
    <col min="15371" max="15371" width="16.42578125" style="4" bestFit="1" customWidth="1"/>
    <col min="15372" max="15372" width="2.7109375" style="4" customWidth="1"/>
    <col min="15373" max="15373" width="15.7109375" style="4" customWidth="1"/>
    <col min="15374" max="15374" width="2.7109375" style="4" customWidth="1"/>
    <col min="15375" max="15617" width="9.140625" style="4"/>
    <col min="15618" max="15618" width="2.7109375" style="4" customWidth="1"/>
    <col min="15619" max="15622" width="9.140625" style="4"/>
    <col min="15623" max="15623" width="12.85546875" style="4" customWidth="1"/>
    <col min="15624" max="15625" width="9.140625" style="4"/>
    <col min="15626" max="15626" width="13.28515625" style="4" customWidth="1"/>
    <col min="15627" max="15627" width="16.42578125" style="4" bestFit="1" customWidth="1"/>
    <col min="15628" max="15628" width="2.7109375" style="4" customWidth="1"/>
    <col min="15629" max="15629" width="15.7109375" style="4" customWidth="1"/>
    <col min="15630" max="15630" width="2.7109375" style="4" customWidth="1"/>
    <col min="15631" max="15873" width="9.140625" style="4"/>
    <col min="15874" max="15874" width="2.7109375" style="4" customWidth="1"/>
    <col min="15875" max="15878" width="9.140625" style="4"/>
    <col min="15879" max="15879" width="12.85546875" style="4" customWidth="1"/>
    <col min="15880" max="15881" width="9.140625" style="4"/>
    <col min="15882" max="15882" width="13.28515625" style="4" customWidth="1"/>
    <col min="15883" max="15883" width="16.42578125" style="4" bestFit="1" customWidth="1"/>
    <col min="15884" max="15884" width="2.7109375" style="4" customWidth="1"/>
    <col min="15885" max="15885" width="15.7109375" style="4" customWidth="1"/>
    <col min="15886" max="15886" width="2.7109375" style="4" customWidth="1"/>
    <col min="15887" max="16129" width="9.140625" style="4"/>
    <col min="16130" max="16130" width="2.7109375" style="4" customWidth="1"/>
    <col min="16131" max="16134" width="9.140625" style="4"/>
    <col min="16135" max="16135" width="12.85546875" style="4" customWidth="1"/>
    <col min="16136" max="16137" width="9.140625" style="4"/>
    <col min="16138" max="16138" width="13.28515625" style="4" customWidth="1"/>
    <col min="16139" max="16139" width="16.42578125" style="4" bestFit="1" customWidth="1"/>
    <col min="16140" max="16140" width="2.7109375" style="4" customWidth="1"/>
    <col min="16141" max="16141" width="15.7109375" style="4" customWidth="1"/>
    <col min="16142" max="16142" width="2.7109375" style="4" customWidth="1"/>
    <col min="16143" max="16384" width="9.140625" style="4"/>
  </cols>
  <sheetData>
    <row r="1" spans="1:20" ht="6" customHeight="1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20" ht="13.5" thickBot="1" x14ac:dyDescent="0.25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8"/>
      <c r="M2" s="9"/>
    </row>
    <row r="3" spans="1:20" ht="15" customHeight="1" x14ac:dyDescent="0.2">
      <c r="A3" s="5"/>
      <c r="B3" s="10"/>
      <c r="C3" s="231"/>
      <c r="D3" s="232"/>
      <c r="E3" s="232"/>
      <c r="F3" s="232"/>
      <c r="G3" s="232"/>
      <c r="H3" s="232"/>
      <c r="I3" s="232"/>
      <c r="J3" s="232"/>
      <c r="K3" s="233"/>
      <c r="L3" s="13"/>
      <c r="M3" s="9"/>
    </row>
    <row r="4" spans="1:20" ht="15" customHeight="1" x14ac:dyDescent="0.2">
      <c r="A4" s="5"/>
      <c r="B4" s="10"/>
      <c r="C4" s="234"/>
      <c r="D4" s="235"/>
      <c r="E4" s="235"/>
      <c r="F4" s="235"/>
      <c r="G4" s="235"/>
      <c r="H4" s="235"/>
      <c r="I4" s="235"/>
      <c r="J4" s="235"/>
      <c r="K4" s="236"/>
      <c r="L4" s="13"/>
      <c r="M4" s="9"/>
    </row>
    <row r="5" spans="1:20" ht="15" customHeight="1" x14ac:dyDescent="0.2">
      <c r="A5" s="5"/>
      <c r="B5" s="10"/>
      <c r="C5" s="234"/>
      <c r="D5" s="235"/>
      <c r="E5" s="235"/>
      <c r="F5" s="235"/>
      <c r="G5" s="235"/>
      <c r="H5" s="235"/>
      <c r="I5" s="235"/>
      <c r="J5" s="235"/>
      <c r="K5" s="236"/>
      <c r="L5" s="13"/>
      <c r="M5" s="9"/>
    </row>
    <row r="6" spans="1:20" ht="15" customHeight="1" thickBot="1" x14ac:dyDescent="0.25">
      <c r="A6" s="5"/>
      <c r="B6" s="10"/>
      <c r="C6" s="237"/>
      <c r="D6" s="238"/>
      <c r="E6" s="238"/>
      <c r="F6" s="238"/>
      <c r="G6" s="238"/>
      <c r="H6" s="238"/>
      <c r="I6" s="238"/>
      <c r="J6" s="238"/>
      <c r="K6" s="239"/>
      <c r="L6" s="13"/>
      <c r="M6" s="9"/>
    </row>
    <row r="7" spans="1:20" ht="18.75" thickBot="1" x14ac:dyDescent="0.25">
      <c r="A7" s="5"/>
      <c r="B7" s="10"/>
      <c r="C7" s="11"/>
      <c r="E7" s="11"/>
      <c r="F7" s="11"/>
      <c r="G7" s="11"/>
      <c r="H7" s="11"/>
      <c r="I7" s="11"/>
      <c r="J7" s="18"/>
      <c r="K7" s="18"/>
      <c r="L7" s="13"/>
      <c r="M7" s="9"/>
    </row>
    <row r="8" spans="1:20" x14ac:dyDescent="0.2">
      <c r="A8" s="5"/>
      <c r="B8" s="10"/>
      <c r="C8" s="6" t="s">
        <v>1</v>
      </c>
      <c r="D8" s="7" t="s">
        <v>2</v>
      </c>
      <c r="E8" s="7"/>
      <c r="F8" s="7"/>
      <c r="G8" s="7"/>
      <c r="H8" s="7"/>
      <c r="I8" s="7"/>
      <c r="J8" s="19" t="s">
        <v>3</v>
      </c>
      <c r="K8" s="20" t="s">
        <v>4</v>
      </c>
      <c r="L8" s="13"/>
      <c r="M8" s="9"/>
    </row>
    <row r="9" spans="1:20" x14ac:dyDescent="0.2">
      <c r="A9" s="5"/>
      <c r="B9" s="10"/>
      <c r="C9" s="10" t="s">
        <v>5</v>
      </c>
      <c r="D9" s="4" t="s">
        <v>6</v>
      </c>
      <c r="I9" s="21"/>
      <c r="J9" s="22" t="s">
        <v>7</v>
      </c>
      <c r="K9" s="23">
        <v>13</v>
      </c>
      <c r="L9" s="13"/>
      <c r="M9" s="9"/>
    </row>
    <row r="10" spans="1:20" ht="33" customHeight="1" thickBot="1" x14ac:dyDescent="0.25">
      <c r="A10" s="5"/>
      <c r="B10" s="10"/>
      <c r="C10" s="24" t="s">
        <v>8</v>
      </c>
      <c r="D10" s="249" t="s">
        <v>9</v>
      </c>
      <c r="E10" s="249"/>
      <c r="F10" s="249"/>
      <c r="G10" s="249"/>
      <c r="H10" s="249"/>
      <c r="I10" s="25"/>
      <c r="J10" s="26" t="s">
        <v>10</v>
      </c>
      <c r="K10" s="27">
        <v>46235</v>
      </c>
      <c r="L10" s="13"/>
      <c r="M10" s="9"/>
    </row>
    <row r="11" spans="1:20" ht="9.9499999999999993" customHeight="1" thickBot="1" x14ac:dyDescent="0.25">
      <c r="A11" s="5"/>
      <c r="B11" s="10"/>
      <c r="C11" s="7"/>
      <c r="K11" s="7"/>
      <c r="L11" s="13"/>
      <c r="M11" s="9"/>
    </row>
    <row r="12" spans="1:20" ht="16.5" customHeight="1" x14ac:dyDescent="0.2">
      <c r="A12" s="5"/>
      <c r="B12" s="10"/>
      <c r="C12" s="250" t="s">
        <v>11</v>
      </c>
      <c r="D12" s="252" t="s">
        <v>12</v>
      </c>
      <c r="E12" s="253"/>
      <c r="F12" s="253"/>
      <c r="G12" s="254"/>
      <c r="H12" s="252" t="s">
        <v>13</v>
      </c>
      <c r="I12" s="253"/>
      <c r="J12" s="253"/>
      <c r="K12" s="254"/>
      <c r="L12" s="13"/>
      <c r="M12" s="9"/>
    </row>
    <row r="13" spans="1:20" ht="12.75" customHeight="1" thickBot="1" x14ac:dyDescent="0.25">
      <c r="A13" s="5"/>
      <c r="B13" s="10"/>
      <c r="C13" s="251"/>
      <c r="D13" s="255"/>
      <c r="E13" s="256"/>
      <c r="F13" s="256"/>
      <c r="G13" s="257"/>
      <c r="H13" s="255"/>
      <c r="I13" s="256"/>
      <c r="J13" s="256"/>
      <c r="K13" s="257"/>
      <c r="L13" s="13"/>
      <c r="M13" s="9"/>
    </row>
    <row r="14" spans="1:20" ht="14.45" customHeight="1" x14ac:dyDescent="0.2">
      <c r="A14" s="5"/>
      <c r="B14" s="10"/>
      <c r="C14" s="28">
        <v>1</v>
      </c>
      <c r="D14" s="29" t="str">
        <f>IFERROR(VLOOKUP($C14,efetivo!$A:$C,2,FALSE),"")</f>
        <v>DANIEL DRAGO SANTANA</v>
      </c>
      <c r="E14" s="30"/>
      <c r="F14" s="30"/>
      <c r="G14" s="31"/>
      <c r="H14" s="32" t="str">
        <f>IFERROR(VLOOKUP($C14,efetivo!$A:$C,3,FALSE),"")</f>
        <v>AJUDANTE GERAL</v>
      </c>
      <c r="I14" s="33"/>
      <c r="J14" s="7"/>
      <c r="K14" s="8"/>
      <c r="L14" s="13"/>
      <c r="M14" s="9"/>
      <c r="R14" s="34"/>
      <c r="S14" s="35"/>
      <c r="T14" s="35"/>
    </row>
    <row r="15" spans="1:20" ht="14.45" customHeight="1" x14ac:dyDescent="0.2">
      <c r="A15" s="5"/>
      <c r="B15" s="10"/>
      <c r="C15" s="36">
        <f>C14+1</f>
        <v>2</v>
      </c>
      <c r="D15" s="37" t="str">
        <f>IFERROR(VLOOKUP($C15,efetivo!$A:$C,2,FALSE),"")</f>
        <v>GUILHERME BREGUES DOS SANTOS</v>
      </c>
      <c r="E15" s="38"/>
      <c r="F15" s="38"/>
      <c r="G15" s="39"/>
      <c r="H15" s="37" t="str">
        <f>IFERROR(VLOOKUP($C15,efetivo!$A:$C,3,FALSE),"")</f>
        <v>AJUDANTE GERAL</v>
      </c>
      <c r="I15" s="38"/>
      <c r="J15" s="38"/>
      <c r="K15" s="40"/>
      <c r="L15" s="13"/>
      <c r="M15" s="9"/>
      <c r="R15" s="34"/>
      <c r="S15" s="35"/>
      <c r="T15" s="35"/>
    </row>
    <row r="16" spans="1:20" ht="14.45" customHeight="1" x14ac:dyDescent="0.2">
      <c r="A16" s="5"/>
      <c r="B16" s="10"/>
      <c r="C16" s="36">
        <f t="shared" ref="C16:C56" si="0">C15+1</f>
        <v>3</v>
      </c>
      <c r="D16" s="37" t="str">
        <f>IFERROR(VLOOKUP($C16,efetivo!$A:$C,2,FALSE),"")</f>
        <v xml:space="preserve">LEONE JOAO RAIMUNDO </v>
      </c>
      <c r="E16" s="38"/>
      <c r="F16" s="38"/>
      <c r="G16" s="39"/>
      <c r="H16" s="37" t="str">
        <f>IFERROR(VLOOKUP($C16,efetivo!$A:$C,3,FALSE),"")</f>
        <v>AJUDANTE GERAL</v>
      </c>
      <c r="I16" s="38"/>
      <c r="J16" s="38"/>
      <c r="K16" s="40"/>
      <c r="L16" s="13"/>
      <c r="M16" s="9"/>
      <c r="R16" s="34"/>
      <c r="S16" s="34"/>
      <c r="T16" s="34"/>
    </row>
    <row r="17" spans="1:20" ht="14.45" customHeight="1" x14ac:dyDescent="0.2">
      <c r="A17" s="5"/>
      <c r="B17" s="10"/>
      <c r="C17" s="36">
        <f t="shared" si="0"/>
        <v>4</v>
      </c>
      <c r="D17" s="37" t="str">
        <f>IFERROR(VLOOKUP($C17,efetivo!$A:$C,2,FALSE),"")</f>
        <v>ROBENILTON ALVES DOS SANTOS</v>
      </c>
      <c r="E17" s="38"/>
      <c r="F17" s="38"/>
      <c r="G17" s="39"/>
      <c r="H17" s="37" t="str">
        <f>IFERROR(VLOOKUP($C17,efetivo!$A:$C,3,FALSE),"")</f>
        <v>AJUDANTE GERAL</v>
      </c>
      <c r="I17" s="38"/>
      <c r="J17" s="38"/>
      <c r="K17" s="40"/>
      <c r="L17" s="13"/>
      <c r="M17" s="9"/>
      <c r="R17" s="34"/>
      <c r="S17" s="34"/>
      <c r="T17" s="34"/>
    </row>
    <row r="18" spans="1:20" ht="14.45" customHeight="1" x14ac:dyDescent="0.2">
      <c r="A18" s="5"/>
      <c r="B18" s="10"/>
      <c r="C18" s="41">
        <f t="shared" si="0"/>
        <v>5</v>
      </c>
      <c r="D18" s="37" t="str">
        <f>IFERROR(VLOOKUP($C18,efetivo!$A:$C,2,FALSE),"")</f>
        <v>RODOLFO LUIZ DA ROCHA</v>
      </c>
      <c r="E18" s="38"/>
      <c r="F18" s="38"/>
      <c r="G18" s="39"/>
      <c r="H18" s="37" t="str">
        <f>IFERROR(VLOOKUP($C18,efetivo!$A:$C,3,FALSE),"")</f>
        <v>AJUDANTE GERAL</v>
      </c>
      <c r="I18" s="38"/>
      <c r="J18" s="38"/>
      <c r="K18" s="40"/>
      <c r="L18" s="13"/>
      <c r="M18" s="9"/>
      <c r="R18" s="34"/>
      <c r="S18" s="34"/>
      <c r="T18" s="34"/>
    </row>
    <row r="19" spans="1:20" ht="14.45" customHeight="1" x14ac:dyDescent="0.2">
      <c r="A19" s="5"/>
      <c r="B19" s="10"/>
      <c r="C19" s="36">
        <f t="shared" si="0"/>
        <v>6</v>
      </c>
      <c r="D19" s="37" t="str">
        <f>IFERROR(VLOOKUP($C19,efetivo!$A:$C,2,FALSE),"")</f>
        <v>SIDNEI APARECIDO PEREIRA</v>
      </c>
      <c r="E19" s="38"/>
      <c r="F19" s="38"/>
      <c r="G19" s="39"/>
      <c r="H19" s="37" t="str">
        <f>IFERROR(VLOOKUP($C19,efetivo!$A:$C,3,FALSE),"")</f>
        <v>AJUDANTE GERAL</v>
      </c>
      <c r="I19" s="38"/>
      <c r="J19" s="38"/>
      <c r="K19" s="40"/>
      <c r="L19" s="13"/>
      <c r="M19" s="9"/>
      <c r="R19" s="34"/>
      <c r="S19" s="34"/>
      <c r="T19" s="34"/>
    </row>
    <row r="20" spans="1:20" ht="14.45" customHeight="1" x14ac:dyDescent="0.2">
      <c r="A20" s="5"/>
      <c r="B20" s="10"/>
      <c r="C20" s="36">
        <f t="shared" si="0"/>
        <v>7</v>
      </c>
      <c r="D20" s="37" t="str">
        <f>IFERROR(VLOOKUP($C20,efetivo!$A:$C,2,FALSE),"")</f>
        <v>CLEITON MIGUEL DA CUNHA</v>
      </c>
      <c r="E20" s="38"/>
      <c r="F20" s="38"/>
      <c r="G20" s="39"/>
      <c r="H20" s="37" t="str">
        <f>IFERROR(VLOOKUP($C20,efetivo!$A:$C,3,FALSE),"")</f>
        <v>AJUDANTE GERAL</v>
      </c>
      <c r="I20" s="38"/>
      <c r="J20" s="38"/>
      <c r="K20" s="40"/>
      <c r="L20" s="13"/>
      <c r="M20" s="9"/>
      <c r="Q20" s="34"/>
      <c r="R20" s="34"/>
      <c r="S20" s="34"/>
      <c r="T20" s="34"/>
    </row>
    <row r="21" spans="1:20" ht="14.45" customHeight="1" x14ac:dyDescent="0.2">
      <c r="A21" s="5"/>
      <c r="B21" s="10"/>
      <c r="C21" s="36">
        <f t="shared" si="0"/>
        <v>8</v>
      </c>
      <c r="D21" s="37" t="str">
        <f>IFERROR(VLOOKUP($C21,efetivo!$A:$C,2,FALSE),"")</f>
        <v>JESUINO GERALDO DOS ANJOS</v>
      </c>
      <c r="E21" s="38"/>
      <c r="F21" s="38"/>
      <c r="G21" s="39"/>
      <c r="H21" s="37" t="str">
        <f>IFERROR(VLOOKUP($C21,efetivo!$A:$C,3,FALSE),"")</f>
        <v>AJUDANTE GERAL</v>
      </c>
      <c r="I21" s="38"/>
      <c r="J21" s="38"/>
      <c r="K21" s="40"/>
      <c r="L21" s="13"/>
      <c r="M21" s="9"/>
      <c r="Q21" s="34"/>
      <c r="R21" s="34"/>
      <c r="S21" s="34"/>
      <c r="T21" s="34"/>
    </row>
    <row r="22" spans="1:20" ht="14.45" customHeight="1" x14ac:dyDescent="0.2">
      <c r="A22" s="5"/>
      <c r="B22" s="10"/>
      <c r="C22" s="41">
        <f t="shared" si="0"/>
        <v>9</v>
      </c>
      <c r="D22" s="37" t="str">
        <f>IFERROR(VLOOKUP($C22,efetivo!$A:$C,2,FALSE),"")</f>
        <v>KAIQUE APARECIDO CUNHA HONORATO</v>
      </c>
      <c r="E22" s="38"/>
      <c r="F22" s="38"/>
      <c r="G22" s="39"/>
      <c r="H22" s="37" t="str">
        <f>IFERROR(VLOOKUP($C22,efetivo!$A:$C,3,FALSE),"")</f>
        <v>AJUDANTE GERAL</v>
      </c>
      <c r="I22" s="38"/>
      <c r="J22" s="38"/>
      <c r="K22" s="40"/>
      <c r="L22" s="13"/>
      <c r="M22" s="9"/>
    </row>
    <row r="23" spans="1:20" ht="14.45" customHeight="1" x14ac:dyDescent="0.2">
      <c r="A23" s="5"/>
      <c r="B23" s="10"/>
      <c r="C23" s="36">
        <f t="shared" si="0"/>
        <v>10</v>
      </c>
      <c r="D23" s="37" t="str">
        <f>IFERROR(VLOOKUP($C23,efetivo!$A:$C,2,FALSE),"")</f>
        <v>LEONARDO MOTA</v>
      </c>
      <c r="E23" s="38"/>
      <c r="F23" s="38"/>
      <c r="G23" s="39"/>
      <c r="H23" s="37" t="str">
        <f>IFERROR(VLOOKUP($C23,efetivo!$A:$C,3,FALSE),"")</f>
        <v>AJUDANTE GERAL</v>
      </c>
      <c r="I23" s="38"/>
      <c r="J23" s="38"/>
      <c r="K23" s="40"/>
      <c r="L23" s="13"/>
      <c r="M23" s="9"/>
    </row>
    <row r="24" spans="1:20" ht="14.45" customHeight="1" x14ac:dyDescent="0.2">
      <c r="A24" s="5"/>
      <c r="B24" s="10"/>
      <c r="C24" s="36">
        <f t="shared" si="0"/>
        <v>11</v>
      </c>
      <c r="D24" s="37" t="str">
        <f>IFERROR(VLOOKUP($C24,efetivo!$A:$C,2,FALSE),"")</f>
        <v>EVONIO CRISTIANO RODRIGUES FERREIRA</v>
      </c>
      <c r="E24" s="38"/>
      <c r="F24" s="38"/>
      <c r="G24" s="39"/>
      <c r="H24" s="37" t="str">
        <f>IFERROR(VLOOKUP($C24,efetivo!$A:$C,3,FALSE),"")</f>
        <v>AJUDANTE GERAL</v>
      </c>
      <c r="I24" s="38"/>
      <c r="J24" s="38"/>
      <c r="K24" s="40"/>
      <c r="L24" s="13"/>
      <c r="M24" s="9"/>
    </row>
    <row r="25" spans="1:20" ht="14.45" customHeight="1" x14ac:dyDescent="0.2">
      <c r="A25" s="5"/>
      <c r="B25" s="10"/>
      <c r="C25" s="36">
        <f t="shared" si="0"/>
        <v>12</v>
      </c>
      <c r="D25" s="37" t="str">
        <f>IFERROR(VLOOKUP($C25,efetivo!$A:$C,2,FALSE),"")</f>
        <v xml:space="preserve"> JANDERSON CESAR PEREIRA                                 ;                  </v>
      </c>
      <c r="E25" s="38"/>
      <c r="F25" s="38"/>
      <c r="G25" s="39"/>
      <c r="H25" s="37" t="str">
        <f>IFERROR(VLOOKUP($C25,efetivo!$A:$C,3,FALSE),"")</f>
        <v>AJUDANTE GERAL</v>
      </c>
      <c r="I25" s="38"/>
      <c r="J25" s="38"/>
      <c r="K25" s="40"/>
      <c r="L25" s="13"/>
      <c r="M25" s="9"/>
    </row>
    <row r="26" spans="1:20" ht="14.45" customHeight="1" x14ac:dyDescent="0.2">
      <c r="A26" s="5"/>
      <c r="B26" s="10"/>
      <c r="C26" s="41">
        <f t="shared" si="0"/>
        <v>13</v>
      </c>
      <c r="D26" s="37" t="str">
        <f>IFERROR(VLOOKUP($C26,efetivo!$A:$C,2,FALSE),"")</f>
        <v xml:space="preserve">DAVI DE JESUS LEAL   </v>
      </c>
      <c r="E26" s="38"/>
      <c r="F26" s="38"/>
      <c r="G26" s="39"/>
      <c r="H26" s="37" t="str">
        <f>IFERROR(VLOOKUP($C26,efetivo!$A:$C,3,FALSE),"")</f>
        <v>AJUDANTE GERAL</v>
      </c>
      <c r="I26" s="38"/>
      <c r="J26" s="38"/>
      <c r="K26" s="40"/>
      <c r="L26" s="13"/>
      <c r="M26" s="9"/>
    </row>
    <row r="27" spans="1:20" ht="14.45" customHeight="1" x14ac:dyDescent="0.2">
      <c r="A27" s="5"/>
      <c r="B27" s="10"/>
      <c r="C27" s="36">
        <f t="shared" si="0"/>
        <v>14</v>
      </c>
      <c r="D27" s="37" t="str">
        <f>IFERROR(VLOOKUP($C27,efetivo!$A:$C,2,FALSE),"")</f>
        <v>DILERNEI PEDROSO DOS SANTOS</v>
      </c>
      <c r="E27" s="38"/>
      <c r="F27" s="38"/>
      <c r="G27" s="39"/>
      <c r="H27" s="37" t="str">
        <f>IFERROR(VLOOKUP($C27,efetivo!$A:$C,3,FALSE),"")</f>
        <v>AJUDANTE GERAL</v>
      </c>
      <c r="I27" s="38"/>
      <c r="J27" s="38"/>
      <c r="K27" s="40"/>
      <c r="L27" s="13"/>
      <c r="M27" s="9"/>
    </row>
    <row r="28" spans="1:20" ht="14.45" customHeight="1" x14ac:dyDescent="0.2">
      <c r="A28" s="5"/>
      <c r="B28" s="10"/>
      <c r="C28" s="36">
        <f t="shared" si="0"/>
        <v>15</v>
      </c>
      <c r="D28" s="37" t="str">
        <f>IFERROR(VLOOKUP($C28,efetivo!$A:$C,2,FALSE),"")</f>
        <v xml:space="preserve">EDVALDO TRINDADE NASCIMENTO      </v>
      </c>
      <c r="E28" s="38"/>
      <c r="F28" s="38"/>
      <c r="G28" s="39"/>
      <c r="H28" s="37" t="str">
        <f>IFERROR(VLOOKUP($C28,efetivo!$A:$C,3,FALSE),"")</f>
        <v>AJUDANTE GERAL</v>
      </c>
      <c r="I28" s="38"/>
      <c r="J28" s="38"/>
      <c r="K28" s="40"/>
      <c r="L28" s="13"/>
      <c r="M28" s="9"/>
      <c r="S28" s="34"/>
    </row>
    <row r="29" spans="1:20" ht="14.45" customHeight="1" x14ac:dyDescent="0.2">
      <c r="A29" s="5"/>
      <c r="B29" s="10"/>
      <c r="C29" s="36">
        <f t="shared" si="0"/>
        <v>16</v>
      </c>
      <c r="D29" s="37" t="str">
        <f>IFERROR(VLOOKUP($C29,efetivo!$A:$C,2,FALSE),"")</f>
        <v>FILIPE DA SILVA FREITAS DOS SANTOS</v>
      </c>
      <c r="E29" s="38"/>
      <c r="F29" s="38"/>
      <c r="G29" s="39"/>
      <c r="H29" s="37" t="str">
        <f>IFERROR(VLOOKUP($C29,efetivo!$A:$C,3,FALSE),"")</f>
        <v>AJUDANTE GERAL</v>
      </c>
      <c r="I29" s="38"/>
      <c r="J29" s="38"/>
      <c r="K29" s="40"/>
      <c r="L29" s="13"/>
      <c r="M29" s="9"/>
      <c r="S29" s="34"/>
    </row>
    <row r="30" spans="1:20" ht="14.45" customHeight="1" x14ac:dyDescent="0.2">
      <c r="A30" s="5"/>
      <c r="B30" s="10"/>
      <c r="C30" s="41">
        <f t="shared" si="0"/>
        <v>17</v>
      </c>
      <c r="D30" s="37" t="str">
        <f>IFERROR(VLOOKUP($C30,efetivo!$A:$C,2,FALSE),"")</f>
        <v xml:space="preserve">HELIO ROBERTO DE OLIVEIRA </v>
      </c>
      <c r="E30" s="38"/>
      <c r="F30" s="38"/>
      <c r="G30" s="39"/>
      <c r="H30" s="37" t="str">
        <f>IFERROR(VLOOKUP($C30,efetivo!$A:$C,3,FALSE),"")</f>
        <v>AJUDANTE GERAL</v>
      </c>
      <c r="I30" s="38"/>
      <c r="J30" s="38"/>
      <c r="K30" s="40"/>
      <c r="L30" s="13"/>
      <c r="M30" s="9"/>
      <c r="S30" s="34"/>
    </row>
    <row r="31" spans="1:20" ht="14.45" customHeight="1" x14ac:dyDescent="0.2">
      <c r="A31" s="5"/>
      <c r="B31" s="10"/>
      <c r="C31" s="36">
        <f t="shared" si="0"/>
        <v>18</v>
      </c>
      <c r="D31" s="37" t="str">
        <f>IFERROR(VLOOKUP($C31,efetivo!$A:$C,2,FALSE),"")</f>
        <v>MARCIO RAFAEL GOMES</v>
      </c>
      <c r="E31" s="38"/>
      <c r="F31" s="38"/>
      <c r="G31" s="39"/>
      <c r="H31" s="37" t="str">
        <f>IFERROR(VLOOKUP($C31,efetivo!$A:$C,3,FALSE),"")</f>
        <v>AJUDANTE GERAL</v>
      </c>
      <c r="I31" s="38"/>
      <c r="J31" s="38"/>
      <c r="K31" s="40"/>
      <c r="L31" s="13"/>
      <c r="M31" s="9"/>
      <c r="S31" s="34"/>
    </row>
    <row r="32" spans="1:20" ht="14.45" customHeight="1" x14ac:dyDescent="0.2">
      <c r="A32" s="5"/>
      <c r="B32" s="10"/>
      <c r="C32" s="36">
        <f t="shared" si="0"/>
        <v>19</v>
      </c>
      <c r="D32" s="37" t="str">
        <f>IFERROR(VLOOKUP($C32,efetivo!$A:$C,2,FALSE),"")</f>
        <v>NILSON MOREIRA DE OLIVEIRA SOUZA</v>
      </c>
      <c r="E32" s="38"/>
      <c r="F32" s="38"/>
      <c r="G32" s="39"/>
      <c r="H32" s="37" t="str">
        <f>IFERROR(VLOOKUP($C32,efetivo!$A:$C,3,FALSE),"")</f>
        <v>AJUDANTE GERAL</v>
      </c>
      <c r="I32" s="38"/>
      <c r="J32" s="38"/>
      <c r="K32" s="40"/>
      <c r="L32" s="13"/>
      <c r="M32" s="9"/>
    </row>
    <row r="33" spans="1:13" ht="14.45" customHeight="1" x14ac:dyDescent="0.2">
      <c r="A33" s="5"/>
      <c r="B33" s="10"/>
      <c r="C33" s="36">
        <f t="shared" si="0"/>
        <v>20</v>
      </c>
      <c r="D33" s="37" t="str">
        <f>IFERROR(VLOOKUP($C33,efetivo!$A:$C,2,FALSE),"")</f>
        <v xml:space="preserve">ROMILDO DE LIMA ORTIZ </v>
      </c>
      <c r="E33" s="38"/>
      <c r="F33" s="38"/>
      <c r="G33" s="39"/>
      <c r="H33" s="37" t="str">
        <f>IFERROR(VLOOKUP($C33,efetivo!$A:$C,3,FALSE),"")</f>
        <v>AJUDANTE GERAL</v>
      </c>
      <c r="I33" s="38"/>
      <c r="J33" s="38"/>
      <c r="K33" s="40"/>
      <c r="L33" s="13"/>
      <c r="M33" s="9"/>
    </row>
    <row r="34" spans="1:13" ht="14.45" customHeight="1" x14ac:dyDescent="0.2">
      <c r="A34" s="5"/>
      <c r="B34" s="10"/>
      <c r="C34" s="41">
        <f t="shared" si="0"/>
        <v>21</v>
      </c>
      <c r="D34" s="37" t="str">
        <f>IFERROR(VLOOKUP($C34,efetivo!$A:$C,2,FALSE),"")</f>
        <v>JOSE AURI MARTINS MONTEIRO</v>
      </c>
      <c r="E34" s="38"/>
      <c r="F34" s="38"/>
      <c r="G34" s="39"/>
      <c r="H34" s="37" t="str">
        <f>IFERROR(VLOOKUP($C34,efetivo!$A:$C,3,FALSE),"")</f>
        <v>AJUDANTE GERAL</v>
      </c>
      <c r="I34" s="38"/>
      <c r="J34" s="38"/>
      <c r="K34" s="40"/>
      <c r="L34" s="13"/>
      <c r="M34" s="9"/>
    </row>
    <row r="35" spans="1:13" ht="14.45" customHeight="1" x14ac:dyDescent="0.2">
      <c r="A35" s="5"/>
      <c r="B35" s="10"/>
      <c r="C35" s="36">
        <f t="shared" si="0"/>
        <v>22</v>
      </c>
      <c r="D35" s="37" t="str">
        <f>IFERROR(VLOOKUP($C35,efetivo!$A:$C,2,FALSE),"")</f>
        <v xml:space="preserve"> AFONSO HENRIQUE FIGUEREDO SA                    ;                       ;                  </v>
      </c>
      <c r="E35" s="38"/>
      <c r="F35" s="38"/>
      <c r="G35" s="39"/>
      <c r="H35" s="37" t="str">
        <f>IFERROR(VLOOKUP($C35,efetivo!$A:$C,3,FALSE),"")</f>
        <v>AJUDANTE GERAL</v>
      </c>
      <c r="I35" s="38"/>
      <c r="J35" s="38"/>
      <c r="K35" s="40"/>
      <c r="L35" s="13"/>
      <c r="M35" s="9"/>
    </row>
    <row r="36" spans="1:13" ht="14.45" customHeight="1" x14ac:dyDescent="0.2">
      <c r="A36" s="5"/>
      <c r="B36" s="10"/>
      <c r="C36" s="36">
        <f t="shared" si="0"/>
        <v>23</v>
      </c>
      <c r="D36" s="37" t="str">
        <f>IFERROR(VLOOKUP($C36,efetivo!$A:$C,2,FALSE),"")</f>
        <v xml:space="preserve"> ANDERSON ALVES DOS SANTOS              </v>
      </c>
      <c r="E36" s="38"/>
      <c r="F36" s="38"/>
      <c r="G36" s="39"/>
      <c r="H36" s="37" t="str">
        <f>IFERROR(VLOOKUP($C36,efetivo!$A:$C,3,FALSE),"")</f>
        <v>AJUDANTE GERAL</v>
      </c>
      <c r="I36" s="38"/>
      <c r="J36" s="38"/>
      <c r="K36" s="40"/>
      <c r="L36" s="13"/>
      <c r="M36" s="9"/>
    </row>
    <row r="37" spans="1:13" ht="14.45" customHeight="1" x14ac:dyDescent="0.2">
      <c r="A37" s="5"/>
      <c r="B37" s="10"/>
      <c r="C37" s="36">
        <f t="shared" si="0"/>
        <v>24</v>
      </c>
      <c r="D37" s="37" t="str">
        <f>IFERROR(VLOOKUP($C37,efetivo!$A:$C,2,FALSE),"")</f>
        <v xml:space="preserve"> APARECIDO RAMOS MONTEIRO </v>
      </c>
      <c r="E37" s="38"/>
      <c r="F37" s="38"/>
      <c r="G37" s="39"/>
      <c r="H37" s="37" t="str">
        <f>IFERROR(VLOOKUP($C37,efetivo!$A:$C,3,FALSE),"")</f>
        <v>AJUDANTE GERAL</v>
      </c>
      <c r="I37" s="38"/>
      <c r="J37" s="38"/>
      <c r="K37" s="40"/>
      <c r="L37" s="13"/>
      <c r="M37" s="9"/>
    </row>
    <row r="38" spans="1:13" ht="14.45" customHeight="1" x14ac:dyDescent="0.2">
      <c r="A38" s="5"/>
      <c r="B38" s="10"/>
      <c r="C38" s="41">
        <f t="shared" si="0"/>
        <v>25</v>
      </c>
      <c r="D38" s="37" t="str">
        <f>IFERROR(VLOOKUP($C38,efetivo!$A:$C,2,FALSE),"")</f>
        <v xml:space="preserve">JOSE APARECIDO DE ALENCAR </v>
      </c>
      <c r="E38" s="38"/>
      <c r="F38" s="38"/>
      <c r="G38" s="39"/>
      <c r="H38" s="37" t="str">
        <f>IFERROR(VLOOKUP($C38,efetivo!$A:$C,3,FALSE),"")</f>
        <v>AJUDANTE GERAL</v>
      </c>
      <c r="I38" s="38"/>
      <c r="J38" s="38"/>
      <c r="K38" s="40"/>
      <c r="L38" s="13"/>
      <c r="M38" s="9"/>
    </row>
    <row r="39" spans="1:13" ht="14.45" customHeight="1" x14ac:dyDescent="0.2">
      <c r="A39" s="5"/>
      <c r="B39" s="10"/>
      <c r="C39" s="36">
        <f t="shared" si="0"/>
        <v>26</v>
      </c>
      <c r="D39" s="37" t="str">
        <f>IFERROR(VLOOKUP($C39,efetivo!$A:$C,2,FALSE),"")</f>
        <v xml:space="preserve">LUIZ ANTHONIO DA SILVA ALENCAR     </v>
      </c>
      <c r="E39" s="38"/>
      <c r="F39" s="38"/>
      <c r="G39" s="39"/>
      <c r="H39" s="37" t="str">
        <f>IFERROR(VLOOKUP($C39,efetivo!$A:$C,3,FALSE),"")</f>
        <v>AJUDANTE GERAL</v>
      </c>
      <c r="I39" s="38"/>
      <c r="J39" s="38"/>
      <c r="K39" s="40"/>
      <c r="L39" s="13"/>
      <c r="M39" s="9"/>
    </row>
    <row r="40" spans="1:13" ht="14.45" customHeight="1" x14ac:dyDescent="0.2">
      <c r="A40" s="5"/>
      <c r="B40" s="10"/>
      <c r="C40" s="36">
        <f t="shared" si="0"/>
        <v>27</v>
      </c>
      <c r="D40" s="37" t="str">
        <f>IFERROR(VLOOKUP($C40,efetivo!$A:$C,2,FALSE),"")</f>
        <v>PAULO MARTIMIANO APARECIDO DOS SANTOS  FAGUNDES</v>
      </c>
      <c r="E40" s="38"/>
      <c r="F40" s="38"/>
      <c r="G40" s="39"/>
      <c r="H40" s="37" t="str">
        <f>IFERROR(VLOOKUP($C40,efetivo!$A:$C,3,FALSE),"")</f>
        <v>AJUDANTE GERAL</v>
      </c>
      <c r="I40" s="38"/>
      <c r="J40" s="38"/>
      <c r="K40" s="40"/>
      <c r="L40" s="13"/>
      <c r="M40" s="9"/>
    </row>
    <row r="41" spans="1:13" ht="14.45" customHeight="1" x14ac:dyDescent="0.2">
      <c r="A41" s="5"/>
      <c r="B41" s="10"/>
      <c r="C41" s="36">
        <f t="shared" si="0"/>
        <v>28</v>
      </c>
      <c r="D41" s="37" t="str">
        <f>IFERROR(VLOOKUP($C41,efetivo!$A:$C,2,FALSE),"")</f>
        <v>EMERSON RYAN RODRUIGUES DA CONCEIÇÃO</v>
      </c>
      <c r="E41" s="38"/>
      <c r="F41" s="38"/>
      <c r="G41" s="39"/>
      <c r="H41" s="37" t="str">
        <f>IFERROR(VLOOKUP($C41,efetivo!$A:$C,3,FALSE),"")</f>
        <v>AJUDANTE GERAL</v>
      </c>
      <c r="I41" s="38"/>
      <c r="J41" s="38"/>
      <c r="K41" s="40"/>
      <c r="L41" s="13"/>
      <c r="M41" s="9"/>
    </row>
    <row r="42" spans="1:13" ht="14.45" customHeight="1" x14ac:dyDescent="0.2">
      <c r="A42" s="5"/>
      <c r="B42" s="10"/>
      <c r="C42" s="41">
        <f t="shared" si="0"/>
        <v>29</v>
      </c>
      <c r="D42" s="37" t="str">
        <f>IFERROR(VLOOKUP($C42,efetivo!$A:$C,2,FALSE),"")</f>
        <v>TIAGO DIONISIO DE ALMEIDA</v>
      </c>
      <c r="E42" s="38"/>
      <c r="F42" s="38"/>
      <c r="G42" s="39"/>
      <c r="H42" s="37" t="str">
        <f>IFERROR(VLOOKUP($C42,efetivo!$A:$C,3,FALSE),"")</f>
        <v>AJUDANTE GERAL</v>
      </c>
      <c r="I42" s="38"/>
      <c r="J42" s="38"/>
      <c r="K42" s="40"/>
      <c r="L42" s="13"/>
      <c r="M42" s="9"/>
    </row>
    <row r="43" spans="1:13" ht="14.45" customHeight="1" x14ac:dyDescent="0.2">
      <c r="A43" s="5"/>
      <c r="B43" s="10"/>
      <c r="C43" s="36">
        <f t="shared" si="0"/>
        <v>30</v>
      </c>
      <c r="D43" s="37" t="str">
        <f>IFERROR(VLOOKUP($C43,efetivo!$A:$C,2,FALSE),"")</f>
        <v xml:space="preserve">LEANDRO CELESTRINO MONTEIRO </v>
      </c>
      <c r="E43" s="38"/>
      <c r="F43" s="38"/>
      <c r="G43" s="39"/>
      <c r="H43" s="37" t="str">
        <f>IFERROR(VLOOKUP($C43,efetivo!$A:$C,3,FALSE),"")</f>
        <v>AJUDANTE GERAL</v>
      </c>
      <c r="I43" s="38"/>
      <c r="J43" s="38"/>
      <c r="K43" s="40"/>
      <c r="L43" s="13"/>
      <c r="M43" s="9"/>
    </row>
    <row r="44" spans="1:13" ht="14.45" customHeight="1" x14ac:dyDescent="0.2">
      <c r="A44" s="5"/>
      <c r="B44" s="10"/>
      <c r="C44" s="36">
        <f t="shared" si="0"/>
        <v>31</v>
      </c>
      <c r="D44" s="37" t="str">
        <f>IFERROR(VLOOKUP($C44,efetivo!$A:$C,2,FALSE),"")</f>
        <v xml:space="preserve">DIEGO DA SILVA MEDINA </v>
      </c>
      <c r="E44" s="38"/>
      <c r="F44" s="38"/>
      <c r="G44" s="39"/>
      <c r="H44" s="37" t="str">
        <f>IFERROR(VLOOKUP($C44,efetivo!$A:$C,3,FALSE),"")</f>
        <v>AJUDANTE GERAL</v>
      </c>
      <c r="I44" s="38"/>
      <c r="J44" s="38"/>
      <c r="K44" s="40"/>
      <c r="L44" s="13"/>
      <c r="M44" s="9"/>
    </row>
    <row r="45" spans="1:13" ht="14.45" customHeight="1" x14ac:dyDescent="0.2">
      <c r="A45" s="5"/>
      <c r="B45" s="10"/>
      <c r="C45" s="36">
        <f t="shared" si="0"/>
        <v>32</v>
      </c>
      <c r="D45" s="37" t="str">
        <f>IFERROR(VLOOKUP($C45,efetivo!$A:$C,2,FALSE),"")</f>
        <v>KAUE VINICIUS SILVA MARIANO</v>
      </c>
      <c r="E45" s="38"/>
      <c r="F45" s="38"/>
      <c r="G45" s="39"/>
      <c r="H45" s="37" t="str">
        <f>IFERROR(VLOOKUP($C45,efetivo!$A:$C,3,FALSE),"")</f>
        <v>AJUDANTE GERAL</v>
      </c>
      <c r="I45" s="38"/>
      <c r="J45" s="38"/>
      <c r="K45" s="40"/>
      <c r="L45" s="13"/>
      <c r="M45" s="9"/>
    </row>
    <row r="46" spans="1:13" ht="14.45" customHeight="1" x14ac:dyDescent="0.2">
      <c r="A46" s="5"/>
      <c r="B46" s="10"/>
      <c r="C46" s="41">
        <f t="shared" si="0"/>
        <v>33</v>
      </c>
      <c r="D46" s="37" t="str">
        <f>IFERROR(VLOOKUP($C46,efetivo!$A:$C,2,FALSE),"")</f>
        <v>SEBASTIAO DE SOUZA</v>
      </c>
      <c r="E46" s="38"/>
      <c r="F46" s="38"/>
      <c r="G46" s="39"/>
      <c r="H46" s="37" t="str">
        <f>IFERROR(VLOOKUP($C46,efetivo!$A:$C,3,FALSE),"")</f>
        <v>AJUDANTE GERAL</v>
      </c>
      <c r="I46" s="38"/>
      <c r="J46" s="38"/>
      <c r="K46" s="40"/>
      <c r="L46" s="13"/>
      <c r="M46" s="9"/>
    </row>
    <row r="47" spans="1:13" ht="14.45" customHeight="1" x14ac:dyDescent="0.2">
      <c r="A47" s="5"/>
      <c r="B47" s="10"/>
      <c r="C47" s="36">
        <f t="shared" si="0"/>
        <v>34</v>
      </c>
      <c r="D47" s="37" t="str">
        <f>IFERROR(VLOOKUP($C47,efetivo!$A:$C,2,FALSE),"")</f>
        <v>WESLLI DOS SANTOS LEAL SÁ</v>
      </c>
      <c r="E47" s="38"/>
      <c r="F47" s="38"/>
      <c r="G47" s="39"/>
      <c r="H47" s="37" t="str">
        <f>IFERROR(VLOOKUP($C47,efetivo!$A:$C,3,FALSE),"")</f>
        <v>AJUDANTE GERAL</v>
      </c>
      <c r="I47" s="38"/>
      <c r="J47" s="38"/>
      <c r="K47" s="40"/>
      <c r="L47" s="13"/>
      <c r="M47" s="9"/>
    </row>
    <row r="48" spans="1:13" ht="14.45" customHeight="1" x14ac:dyDescent="0.2">
      <c r="A48" s="5"/>
      <c r="B48" s="10"/>
      <c r="C48" s="36">
        <f t="shared" si="0"/>
        <v>35</v>
      </c>
      <c r="D48" s="37" t="str">
        <f>IFERROR(VLOOKUP($C48,efetivo!$A:$C,2,FALSE),"")</f>
        <v>HIDICLEVIO CONCEIÇÃO DE LIMA</v>
      </c>
      <c r="E48" s="38"/>
      <c r="F48" s="38"/>
      <c r="G48" s="39"/>
      <c r="H48" s="37" t="str">
        <f>IFERROR(VLOOKUP($C48,efetivo!$A:$C,3,FALSE),"")</f>
        <v>AJUDANTE GERAL</v>
      </c>
      <c r="I48" s="38"/>
      <c r="J48" s="38"/>
      <c r="K48" s="40"/>
      <c r="L48" s="13"/>
      <c r="M48" s="9"/>
    </row>
    <row r="49" spans="1:13" ht="14.45" customHeight="1" x14ac:dyDescent="0.2">
      <c r="A49" s="5"/>
      <c r="B49" s="10"/>
      <c r="C49" s="36">
        <f t="shared" si="0"/>
        <v>36</v>
      </c>
      <c r="D49" s="37" t="str">
        <f>IFERROR(VLOOKUP($C49,efetivo!$A:$C,2,FALSE),"")</f>
        <v>AGEU PEREIRA DA SILVA</v>
      </c>
      <c r="E49" s="38"/>
      <c r="F49" s="38"/>
      <c r="G49" s="39"/>
      <c r="H49" s="37" t="str">
        <f>IFERROR(VLOOKUP($C49,efetivo!$A:$C,3,FALSE),"")</f>
        <v>AJUDANTE GERAL</v>
      </c>
      <c r="I49" s="38"/>
      <c r="J49" s="38"/>
      <c r="K49" s="40"/>
      <c r="L49" s="13"/>
      <c r="M49" s="9"/>
    </row>
    <row r="50" spans="1:13" ht="14.45" customHeight="1" x14ac:dyDescent="0.2">
      <c r="A50" s="5"/>
      <c r="B50" s="10"/>
      <c r="C50" s="36">
        <f t="shared" si="0"/>
        <v>37</v>
      </c>
      <c r="D50" s="37" t="str">
        <f>IFERROR(VLOOKUP($C50,efetivo!$A:$C,2,FALSE),"")</f>
        <v>EDUARDO APARECIDO DE OLIVEIRA</v>
      </c>
      <c r="E50" s="38"/>
      <c r="F50" s="38"/>
      <c r="G50" s="39"/>
      <c r="H50" s="37" t="str">
        <f>IFERROR(VLOOKUP($C50,efetivo!$A:$C,3,FALSE),"")</f>
        <v>APONTADOR</v>
      </c>
      <c r="I50" s="38"/>
      <c r="J50" s="38"/>
      <c r="K50" s="40"/>
      <c r="L50" s="13"/>
      <c r="M50" s="9"/>
    </row>
    <row r="51" spans="1:13" ht="14.45" customHeight="1" x14ac:dyDescent="0.2">
      <c r="A51" s="5"/>
      <c r="B51" s="10"/>
      <c r="C51" s="36">
        <f t="shared" si="0"/>
        <v>38</v>
      </c>
      <c r="D51" s="37" t="str">
        <f>IFERROR(VLOOKUP($C51,efetivo!$A:$C,2,FALSE),"")</f>
        <v>MATEUS SILVA DE SOUZA</v>
      </c>
      <c r="E51" s="38"/>
      <c r="F51" s="38"/>
      <c r="G51" s="39"/>
      <c r="H51" s="37" t="str">
        <f>IFERROR(VLOOKUP($C51,efetivo!$A:$C,3,FALSE),"")</f>
        <v>APONTADOR</v>
      </c>
      <c r="I51" s="38"/>
      <c r="J51" s="38"/>
      <c r="K51" s="40"/>
      <c r="L51" s="13"/>
      <c r="M51" s="9"/>
    </row>
    <row r="52" spans="1:13" ht="14.45" customHeight="1" x14ac:dyDescent="0.2">
      <c r="A52" s="5"/>
      <c r="B52" s="10"/>
      <c r="C52" s="36">
        <f t="shared" si="0"/>
        <v>39</v>
      </c>
      <c r="D52" s="37" t="str">
        <f>IFERROR(VLOOKUP($C52,efetivo!$A:$C,2,FALSE),"")</f>
        <v xml:space="preserve">PAULO SERGIO CAZUZA JUNIOR </v>
      </c>
      <c r="E52" s="38"/>
      <c r="F52" s="38"/>
      <c r="G52" s="39"/>
      <c r="H52" s="37" t="str">
        <f>IFERROR(VLOOKUP($C52,efetivo!$A:$C,3,FALSE),"")</f>
        <v>APONTADOR</v>
      </c>
      <c r="I52" s="38"/>
      <c r="J52" s="38"/>
      <c r="K52" s="40"/>
      <c r="L52" s="13"/>
      <c r="M52" s="9"/>
    </row>
    <row r="53" spans="1:13" ht="14.45" customHeight="1" x14ac:dyDescent="0.2">
      <c r="A53" s="5"/>
      <c r="B53" s="10"/>
      <c r="C53" s="36">
        <f t="shared" si="0"/>
        <v>40</v>
      </c>
      <c r="D53" s="37" t="str">
        <f>IFERROR(VLOOKUP($C53,efetivo!$A:$C,2,FALSE),"")</f>
        <v>VICTOR SENA MARIANO</v>
      </c>
      <c r="E53" s="38"/>
      <c r="F53" s="38"/>
      <c r="G53" s="39"/>
      <c r="H53" s="37" t="str">
        <f>IFERROR(VLOOKUP($C53,efetivo!$A:$C,3,FALSE),"")</f>
        <v>APONTADOR</v>
      </c>
      <c r="I53" s="38"/>
      <c r="J53" s="38"/>
      <c r="K53" s="40"/>
      <c r="L53" s="13"/>
      <c r="M53" s="9"/>
    </row>
    <row r="54" spans="1:13" ht="14.45" customHeight="1" x14ac:dyDescent="0.2">
      <c r="A54" s="5"/>
      <c r="B54" s="10"/>
      <c r="C54" s="36">
        <f t="shared" si="0"/>
        <v>41</v>
      </c>
      <c r="D54" s="37" t="str">
        <f>IFERROR(VLOOKUP($C54,efetivo!$A:$C,2,FALSE),"")</f>
        <v>VALDINEI ESBRIGUE</v>
      </c>
      <c r="E54" s="38"/>
      <c r="F54" s="38"/>
      <c r="G54" s="39"/>
      <c r="H54" s="37" t="str">
        <f>IFERROR(VLOOKUP($C54,efetivo!$A:$C,3,FALSE),"")</f>
        <v>ARMADOR</v>
      </c>
      <c r="I54" s="38"/>
      <c r="J54" s="38"/>
      <c r="K54" s="40"/>
      <c r="L54" s="13"/>
      <c r="M54" s="9"/>
    </row>
    <row r="55" spans="1:13" ht="14.45" customHeight="1" x14ac:dyDescent="0.2">
      <c r="A55" s="5"/>
      <c r="B55" s="10"/>
      <c r="C55" s="36">
        <f t="shared" si="0"/>
        <v>42</v>
      </c>
      <c r="D55" s="37" t="str">
        <f>IFERROR(VLOOKUP($C55,efetivo!$A:$C,2,FALSE),"")</f>
        <v>VALDIR ALVES DE OLIVEIRA</v>
      </c>
      <c r="E55" s="38"/>
      <c r="F55" s="38"/>
      <c r="G55" s="39"/>
      <c r="H55" s="37" t="str">
        <f>IFERROR(VLOOKUP($C55,efetivo!$A:$C,3,FALSE),"")</f>
        <v>ARMADOR</v>
      </c>
      <c r="I55" s="38"/>
      <c r="J55" s="38"/>
      <c r="K55" s="40"/>
      <c r="L55" s="13"/>
      <c r="M55" s="9"/>
    </row>
    <row r="56" spans="1:13" ht="15" customHeight="1" thickBot="1" x14ac:dyDescent="0.25">
      <c r="A56" s="5"/>
      <c r="B56" s="10"/>
      <c r="C56" s="42">
        <f t="shared" si="0"/>
        <v>43</v>
      </c>
      <c r="D56" s="43" t="str">
        <f>IFERROR(VLOOKUP($C56,efetivo!$A:$C,2,FALSE),"")</f>
        <v>JAILSON TENORIO DA SILVA</v>
      </c>
      <c r="E56" s="25"/>
      <c r="F56" s="25"/>
      <c r="G56" s="44"/>
      <c r="H56" s="45" t="str">
        <f>IFERROR(VLOOKUP($C56,efetivo!$A:$C,3,FALSE),"")</f>
        <v>ARMADOR</v>
      </c>
      <c r="I56" s="25"/>
      <c r="J56" s="46"/>
      <c r="K56" s="47"/>
      <c r="L56" s="13"/>
      <c r="M56" s="9"/>
    </row>
    <row r="57" spans="1:13" ht="13.5" thickBot="1" x14ac:dyDescent="0.25">
      <c r="A57" s="5"/>
      <c r="B57" s="48"/>
      <c r="C57" s="49"/>
      <c r="D57" s="49"/>
      <c r="E57" s="49"/>
      <c r="F57" s="49"/>
      <c r="G57" s="49"/>
      <c r="H57" s="49"/>
      <c r="I57" s="49"/>
      <c r="J57" s="49"/>
      <c r="K57" s="49"/>
      <c r="L57" s="50"/>
      <c r="M57" s="9"/>
    </row>
    <row r="58" spans="1:13" ht="6" customHeight="1" thickBot="1" x14ac:dyDescent="0.2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258"/>
      <c r="L58" s="258"/>
      <c r="M58" s="259"/>
    </row>
    <row r="62" spans="1:13" ht="13.5" thickBot="1" x14ac:dyDescent="0.25"/>
    <row r="63" spans="1:13" ht="13.5" thickBot="1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3"/>
    </row>
    <row r="64" spans="1:13" ht="13.5" thickBot="1" x14ac:dyDescent="0.25">
      <c r="A64" s="5"/>
      <c r="B64" s="6"/>
      <c r="C64" s="7"/>
      <c r="D64" s="7"/>
      <c r="E64" s="7"/>
      <c r="F64" s="7"/>
      <c r="G64" s="7"/>
      <c r="H64" s="7"/>
      <c r="I64" s="7"/>
      <c r="J64" s="7"/>
      <c r="K64" s="7"/>
      <c r="L64" s="8"/>
      <c r="M64" s="9"/>
    </row>
    <row r="65" spans="1:13" ht="15.6" customHeight="1" x14ac:dyDescent="0.2">
      <c r="A65" s="5"/>
      <c r="B65" s="10"/>
      <c r="C65" s="231"/>
      <c r="D65" s="232"/>
      <c r="E65" s="232"/>
      <c r="F65" s="232"/>
      <c r="G65" s="232"/>
      <c r="H65" s="232"/>
      <c r="I65" s="232"/>
      <c r="J65" s="232"/>
      <c r="K65" s="233"/>
      <c r="L65" s="13"/>
      <c r="M65" s="9"/>
    </row>
    <row r="66" spans="1:13" ht="15.6" customHeight="1" x14ac:dyDescent="0.2">
      <c r="A66" s="5"/>
      <c r="B66" s="10"/>
      <c r="C66" s="234"/>
      <c r="D66" s="235"/>
      <c r="E66" s="235"/>
      <c r="F66" s="235"/>
      <c r="G66" s="235"/>
      <c r="H66" s="235"/>
      <c r="I66" s="235"/>
      <c r="J66" s="235"/>
      <c r="K66" s="236"/>
      <c r="L66" s="13"/>
      <c r="M66" s="9"/>
    </row>
    <row r="67" spans="1:13" ht="15.6" customHeight="1" x14ac:dyDescent="0.2">
      <c r="A67" s="5"/>
      <c r="B67" s="10"/>
      <c r="C67" s="234"/>
      <c r="D67" s="235"/>
      <c r="E67" s="235"/>
      <c r="F67" s="235"/>
      <c r="G67" s="235"/>
      <c r="H67" s="235"/>
      <c r="I67" s="235"/>
      <c r="J67" s="235"/>
      <c r="K67" s="236"/>
      <c r="L67" s="13"/>
      <c r="M67" s="9"/>
    </row>
    <row r="68" spans="1:13" ht="16.149999999999999" customHeight="1" thickBot="1" x14ac:dyDescent="0.25">
      <c r="A68" s="5"/>
      <c r="B68" s="10"/>
      <c r="C68" s="237"/>
      <c r="D68" s="238"/>
      <c r="E68" s="238"/>
      <c r="F68" s="238"/>
      <c r="G68" s="238"/>
      <c r="H68" s="238"/>
      <c r="I68" s="238"/>
      <c r="J68" s="238"/>
      <c r="K68" s="239"/>
      <c r="L68" s="13"/>
      <c r="M68" s="9"/>
    </row>
    <row r="69" spans="1:13" ht="18.75" thickBot="1" x14ac:dyDescent="0.25">
      <c r="A69" s="5"/>
      <c r="B69" s="10"/>
      <c r="C69" s="11"/>
      <c r="E69" s="11"/>
      <c r="F69" s="11"/>
      <c r="G69" s="11"/>
      <c r="H69" s="11"/>
      <c r="I69" s="11"/>
      <c r="J69" s="18"/>
      <c r="K69" s="18"/>
      <c r="L69" s="13"/>
      <c r="M69" s="9"/>
    </row>
    <row r="70" spans="1:13" x14ac:dyDescent="0.2">
      <c r="A70" s="5"/>
      <c r="B70" s="10"/>
      <c r="C70" s="6" t="s">
        <v>1</v>
      </c>
      <c r="D70" s="7" t="s">
        <v>2</v>
      </c>
      <c r="E70" s="7"/>
      <c r="F70" s="7"/>
      <c r="G70" s="7"/>
      <c r="H70" s="7"/>
      <c r="I70" s="7"/>
      <c r="J70" s="19" t="s">
        <v>3</v>
      </c>
      <c r="K70" s="20" t="s">
        <v>4</v>
      </c>
      <c r="L70" s="13"/>
      <c r="M70" s="9"/>
    </row>
    <row r="71" spans="1:13" x14ac:dyDescent="0.2">
      <c r="A71" s="5"/>
      <c r="B71" s="10"/>
      <c r="C71" s="10" t="s">
        <v>5</v>
      </c>
      <c r="D71" s="4" t="s">
        <v>6</v>
      </c>
      <c r="I71" s="21"/>
      <c r="J71" s="22" t="s">
        <v>7</v>
      </c>
      <c r="K71" s="23">
        <v>13</v>
      </c>
      <c r="L71" s="13"/>
      <c r="M71" s="9"/>
    </row>
    <row r="72" spans="1:13" ht="33.6" customHeight="1" thickBot="1" x14ac:dyDescent="0.25">
      <c r="A72" s="5"/>
      <c r="B72" s="10"/>
      <c r="C72" s="24" t="s">
        <v>8</v>
      </c>
      <c r="D72" s="249" t="s">
        <v>9</v>
      </c>
      <c r="E72" s="249"/>
      <c r="F72" s="249"/>
      <c r="G72" s="249"/>
      <c r="H72" s="249"/>
      <c r="I72" s="25"/>
      <c r="J72" s="26" t="s">
        <v>10</v>
      </c>
      <c r="K72" s="27">
        <v>46235</v>
      </c>
      <c r="L72" s="13"/>
      <c r="M72" s="9"/>
    </row>
    <row r="73" spans="1:13" ht="9" customHeight="1" thickBot="1" x14ac:dyDescent="0.25">
      <c r="A73" s="5"/>
      <c r="B73" s="10"/>
      <c r="C73" s="7"/>
      <c r="K73" s="7"/>
      <c r="L73" s="13"/>
      <c r="M73" s="9"/>
    </row>
    <row r="74" spans="1:13" ht="13.15" customHeight="1" x14ac:dyDescent="0.2">
      <c r="A74" s="5"/>
      <c r="B74" s="10"/>
      <c r="C74" s="250" t="s">
        <v>11</v>
      </c>
      <c r="D74" s="252" t="s">
        <v>12</v>
      </c>
      <c r="E74" s="253"/>
      <c r="F74" s="253"/>
      <c r="G74" s="254"/>
      <c r="H74" s="252" t="s">
        <v>13</v>
      </c>
      <c r="I74" s="253"/>
      <c r="J74" s="253"/>
      <c r="K74" s="254"/>
      <c r="L74" s="13"/>
      <c r="M74" s="9"/>
    </row>
    <row r="75" spans="1:13" ht="13.9" customHeight="1" thickBot="1" x14ac:dyDescent="0.25">
      <c r="A75" s="5"/>
      <c r="B75" s="10"/>
      <c r="C75" s="251"/>
      <c r="D75" s="255"/>
      <c r="E75" s="256"/>
      <c r="F75" s="256"/>
      <c r="G75" s="257"/>
      <c r="H75" s="255"/>
      <c r="I75" s="256"/>
      <c r="J75" s="256"/>
      <c r="K75" s="257"/>
      <c r="L75" s="13"/>
      <c r="M75" s="9"/>
    </row>
    <row r="76" spans="1:13" x14ac:dyDescent="0.2">
      <c r="A76" s="5"/>
      <c r="B76" s="10"/>
      <c r="C76" s="54">
        <f>C56+1</f>
        <v>44</v>
      </c>
      <c r="D76" s="55" t="str">
        <f>IFERROR(VLOOKUP($C76,efetivo!$A:$C,2,FALSE),"")</f>
        <v>ROGERIO NUNES DE OLIVEIRA</v>
      </c>
      <c r="E76" s="30"/>
      <c r="F76" s="30"/>
      <c r="G76" s="31"/>
      <c r="H76" s="32" t="str">
        <f>IFERROR(VLOOKUP($C76,efetivo!$A:$C,3,FALSE),"")</f>
        <v>ARMADOR</v>
      </c>
      <c r="I76" s="33"/>
      <c r="J76" s="7"/>
      <c r="K76" s="8"/>
      <c r="L76" s="13"/>
      <c r="M76" s="9"/>
    </row>
    <row r="77" spans="1:13" x14ac:dyDescent="0.2">
      <c r="A77" s="5"/>
      <c r="B77" s="10"/>
      <c r="C77" s="56">
        <f t="shared" ref="C77:C118" si="1">C76+1</f>
        <v>45</v>
      </c>
      <c r="D77" s="57" t="str">
        <f>IFERROR(VLOOKUP($C77,efetivo!$A:$C,2,FALSE),"")</f>
        <v xml:space="preserve">JOSE FRANCISCO DOS SANTOS </v>
      </c>
      <c r="E77" s="38"/>
      <c r="F77" s="38"/>
      <c r="G77" s="39"/>
      <c r="H77" s="37" t="str">
        <f>IFERROR(VLOOKUP($C77,efetivo!$A:$C,3,FALSE),"")</f>
        <v>ARMADOR</v>
      </c>
      <c r="I77" s="38"/>
      <c r="J77" s="38"/>
      <c r="K77" s="40"/>
      <c r="L77" s="13"/>
      <c r="M77" s="9"/>
    </row>
    <row r="78" spans="1:13" x14ac:dyDescent="0.2">
      <c r="A78" s="5"/>
      <c r="B78" s="10"/>
      <c r="C78" s="36">
        <f t="shared" si="1"/>
        <v>46</v>
      </c>
      <c r="D78" s="57" t="str">
        <f>IFERROR(VLOOKUP($C78,efetivo!$A:$C,2,FALSE),"")</f>
        <v xml:space="preserve">WASHGTON ANTUNES DE OLIVEIRA </v>
      </c>
      <c r="E78" s="38"/>
      <c r="F78" s="38"/>
      <c r="G78" s="39"/>
      <c r="H78" s="37" t="str">
        <f>IFERROR(VLOOKUP($C78,efetivo!$A:$C,3,FALSE),"")</f>
        <v>ARMADOR</v>
      </c>
      <c r="I78" s="38"/>
      <c r="J78" s="38"/>
      <c r="K78" s="40"/>
      <c r="L78" s="13"/>
      <c r="M78" s="9"/>
    </row>
    <row r="79" spans="1:13" x14ac:dyDescent="0.2">
      <c r="A79" s="5"/>
      <c r="B79" s="10"/>
      <c r="C79" s="36">
        <f t="shared" si="1"/>
        <v>47</v>
      </c>
      <c r="D79" s="57" t="str">
        <f>IFERROR(VLOOKUP($C79,efetivo!$A:$C,2,FALSE),"")</f>
        <v>ISMAEL APARECIDO NOGUEIRA</v>
      </c>
      <c r="E79" s="38"/>
      <c r="F79" s="38"/>
      <c r="G79" s="39"/>
      <c r="H79" s="37" t="str">
        <f>IFERROR(VLOOKUP($C79,efetivo!$A:$C,3,FALSE),"")</f>
        <v>AUXILIAR DE LABORATÓRIO I</v>
      </c>
      <c r="I79" s="38"/>
      <c r="J79" s="38"/>
      <c r="K79" s="40"/>
      <c r="L79" s="13"/>
      <c r="M79" s="9"/>
    </row>
    <row r="80" spans="1:13" x14ac:dyDescent="0.2">
      <c r="A80" s="5"/>
      <c r="B80" s="10"/>
      <c r="C80" s="36">
        <f t="shared" si="1"/>
        <v>48</v>
      </c>
      <c r="D80" s="57" t="str">
        <f>IFERROR(VLOOKUP($C80,efetivo!$A:$C,2,FALSE),"")</f>
        <v xml:space="preserve">JOSE CARLOS ROSALINO </v>
      </c>
      <c r="E80" s="38"/>
      <c r="F80" s="38"/>
      <c r="G80" s="39"/>
      <c r="H80" s="37" t="str">
        <f>IFERROR(VLOOKUP($C80,efetivo!$A:$C,3,FALSE),"")</f>
        <v>CALDERISTA</v>
      </c>
      <c r="I80" s="38"/>
      <c r="J80" s="38"/>
      <c r="K80" s="40"/>
      <c r="L80" s="13"/>
      <c r="M80" s="9"/>
    </row>
    <row r="81" spans="1:13" x14ac:dyDescent="0.2">
      <c r="A81" s="5"/>
      <c r="B81" s="10"/>
      <c r="C81" s="36">
        <f t="shared" si="1"/>
        <v>49</v>
      </c>
      <c r="D81" s="57" t="str">
        <f>IFERROR(VLOOKUP($C81,efetivo!$A:$C,2,FALSE),"")</f>
        <v xml:space="preserve">NATALICIO DA SILVA AGUIAR </v>
      </c>
      <c r="E81" s="38"/>
      <c r="F81" s="38"/>
      <c r="G81" s="39"/>
      <c r="H81" s="37" t="str">
        <f>IFERROR(VLOOKUP($C81,efetivo!$A:$C,3,FALSE),"")</f>
        <v>CALDERISTA</v>
      </c>
      <c r="I81" s="38"/>
      <c r="J81" s="38"/>
      <c r="K81" s="40"/>
      <c r="L81" s="13"/>
      <c r="M81" s="9"/>
    </row>
    <row r="82" spans="1:13" x14ac:dyDescent="0.2">
      <c r="A82" s="5"/>
      <c r="B82" s="10"/>
      <c r="C82" s="36">
        <f t="shared" si="1"/>
        <v>50</v>
      </c>
      <c r="D82" s="57" t="str">
        <f>IFERROR(VLOOKUP($C82,efetivo!$A:$C,2,FALSE),"")</f>
        <v xml:space="preserve">AFONSO MORETTI SANCHEZ </v>
      </c>
      <c r="E82" s="38"/>
      <c r="F82" s="38"/>
      <c r="G82" s="39"/>
      <c r="H82" s="37" t="str">
        <f>IFERROR(VLOOKUP($C82,efetivo!$A:$C,3,FALSE),"")</f>
        <v>CARPINTEIRO</v>
      </c>
      <c r="I82" s="38"/>
      <c r="J82" s="38"/>
      <c r="K82" s="40"/>
      <c r="L82" s="13"/>
      <c r="M82" s="9"/>
    </row>
    <row r="83" spans="1:13" x14ac:dyDescent="0.2">
      <c r="A83" s="5"/>
      <c r="B83" s="10"/>
      <c r="C83" s="36">
        <f t="shared" si="1"/>
        <v>51</v>
      </c>
      <c r="D83" s="57" t="str">
        <f>IFERROR(VLOOKUP($C83,efetivo!$A:$C,2,FALSE),"")</f>
        <v>ADENILTON BARRETO DE SOUZA</v>
      </c>
      <c r="E83" s="38"/>
      <c r="F83" s="38"/>
      <c r="G83" s="39"/>
      <c r="H83" s="37" t="str">
        <f>IFERROR(VLOOKUP($C83,efetivo!$A:$C,3,FALSE),"")</f>
        <v>CARPINTEIRO</v>
      </c>
      <c r="I83" s="38"/>
      <c r="J83" s="38"/>
      <c r="K83" s="40"/>
      <c r="L83" s="13"/>
      <c r="M83" s="9"/>
    </row>
    <row r="84" spans="1:13" x14ac:dyDescent="0.2">
      <c r="A84" s="5"/>
      <c r="B84" s="10"/>
      <c r="C84" s="36">
        <f t="shared" si="1"/>
        <v>52</v>
      </c>
      <c r="D84" s="57" t="str">
        <f>IFERROR(VLOOKUP($C84,efetivo!$A:$C,2,FALSE),"")</f>
        <v>EZEQUIEL DA BOAVENTURA</v>
      </c>
      <c r="E84" s="38"/>
      <c r="F84" s="38"/>
      <c r="G84" s="39"/>
      <c r="H84" s="37" t="str">
        <f>IFERROR(VLOOKUP($C84,efetivo!$A:$C,3,FALSE),"")</f>
        <v>CARPINTEIRO</v>
      </c>
      <c r="I84" s="38"/>
      <c r="J84" s="38"/>
      <c r="K84" s="40"/>
      <c r="L84" s="13"/>
      <c r="M84" s="9"/>
    </row>
    <row r="85" spans="1:13" x14ac:dyDescent="0.2">
      <c r="A85" s="5"/>
      <c r="B85" s="10"/>
      <c r="C85" s="36">
        <f t="shared" si="1"/>
        <v>53</v>
      </c>
      <c r="D85" s="57" t="str">
        <f>IFERROR(VLOOKUP($C85,efetivo!$A:$C,2,FALSE),"")</f>
        <v>FERNANDO AUGUSTO MIRA DOS SANTOS</v>
      </c>
      <c r="E85" s="38"/>
      <c r="F85" s="38"/>
      <c r="G85" s="39"/>
      <c r="H85" s="37" t="str">
        <f>IFERROR(VLOOKUP($C85,efetivo!$A:$C,3,FALSE),"")</f>
        <v>CARPINTEIRO</v>
      </c>
      <c r="I85" s="38"/>
      <c r="J85" s="38"/>
      <c r="K85" s="40"/>
      <c r="L85" s="13"/>
      <c r="M85" s="9"/>
    </row>
    <row r="86" spans="1:13" x14ac:dyDescent="0.2">
      <c r="A86" s="5"/>
      <c r="B86" s="10"/>
      <c r="C86" s="36">
        <f t="shared" si="1"/>
        <v>54</v>
      </c>
      <c r="D86" s="57" t="str">
        <f>IFERROR(VLOOKUP($C86,efetivo!$A:$C,2,FALSE),"")</f>
        <v>JOSE NILTON APARECIDO HONORATO</v>
      </c>
      <c r="E86" s="38"/>
      <c r="F86" s="38"/>
      <c r="G86" s="39"/>
      <c r="H86" s="37" t="str">
        <f>IFERROR(VLOOKUP($C86,efetivo!$A:$C,3,FALSE),"")</f>
        <v>CARPINTEIRO</v>
      </c>
      <c r="I86" s="38"/>
      <c r="J86" s="38"/>
      <c r="K86" s="40"/>
      <c r="L86" s="13"/>
      <c r="M86" s="9"/>
    </row>
    <row r="87" spans="1:13" x14ac:dyDescent="0.2">
      <c r="A87" s="5"/>
      <c r="B87" s="10"/>
      <c r="C87" s="36">
        <f t="shared" si="1"/>
        <v>55</v>
      </c>
      <c r="D87" s="57" t="str">
        <f>IFERROR(VLOOKUP($C87,efetivo!$A:$C,2,FALSE),"")</f>
        <v xml:space="preserve"> MARCOS MARCELINO  </v>
      </c>
      <c r="E87" s="38"/>
      <c r="F87" s="38"/>
      <c r="G87" s="39"/>
      <c r="H87" s="37" t="str">
        <f>IFERROR(VLOOKUP($C87,efetivo!$A:$C,3,FALSE),"")</f>
        <v>CARPINTEIRO</v>
      </c>
      <c r="I87" s="38"/>
      <c r="J87" s="38"/>
      <c r="K87" s="40"/>
      <c r="L87" s="13"/>
      <c r="M87" s="9"/>
    </row>
    <row r="88" spans="1:13" x14ac:dyDescent="0.2">
      <c r="A88" s="5"/>
      <c r="B88" s="10"/>
      <c r="C88" s="36">
        <f t="shared" si="1"/>
        <v>56</v>
      </c>
      <c r="D88" s="57" t="str">
        <f>IFERROR(VLOOKUP($C88,efetivo!$A:$C,2,FALSE),"")</f>
        <v xml:space="preserve">JOSE CARLOS LIMA PAZ                             </v>
      </c>
      <c r="E88" s="38"/>
      <c r="F88" s="38"/>
      <c r="G88" s="39"/>
      <c r="H88" s="37" t="str">
        <f>IFERROR(VLOOKUP($C88,efetivo!$A:$C,3,FALSE),"")</f>
        <v>CARPINTEIRO</v>
      </c>
      <c r="I88" s="38"/>
      <c r="J88" s="38"/>
      <c r="K88" s="40"/>
      <c r="L88" s="13"/>
      <c r="M88" s="9"/>
    </row>
    <row r="89" spans="1:13" x14ac:dyDescent="0.2">
      <c r="A89" s="5"/>
      <c r="B89" s="10"/>
      <c r="C89" s="36">
        <f t="shared" si="1"/>
        <v>57</v>
      </c>
      <c r="D89" s="57" t="str">
        <f>IFERROR(VLOOKUP($C89,efetivo!$A:$C,2,FALSE),"")</f>
        <v xml:space="preserve"> JOSE ROBERTO DOS SANTOS    </v>
      </c>
      <c r="E89" s="38"/>
      <c r="F89" s="38"/>
      <c r="G89" s="39"/>
      <c r="H89" s="37" t="str">
        <f>IFERROR(VLOOKUP($C89,efetivo!$A:$C,3,FALSE),"")</f>
        <v>CARPINTEIRO</v>
      </c>
      <c r="I89" s="38"/>
      <c r="J89" s="38"/>
      <c r="K89" s="40"/>
      <c r="L89" s="13"/>
      <c r="M89" s="9"/>
    </row>
    <row r="90" spans="1:13" x14ac:dyDescent="0.2">
      <c r="A90" s="5"/>
      <c r="B90" s="10"/>
      <c r="C90" s="36">
        <f t="shared" si="1"/>
        <v>58</v>
      </c>
      <c r="D90" s="57" t="str">
        <f>IFERROR(VLOOKUP($C90,efetivo!$A:$C,2,FALSE),"")</f>
        <v xml:space="preserve">BENEDITA SUELI ALVES DE SOUSA </v>
      </c>
      <c r="E90" s="38"/>
      <c r="F90" s="38"/>
      <c r="G90" s="39"/>
      <c r="H90" s="37" t="str">
        <f>IFERROR(VLOOKUP($C90,efetivo!$A:$C,3,FALSE),"")</f>
        <v>COMPRADOR</v>
      </c>
      <c r="I90" s="38"/>
      <c r="J90" s="38"/>
      <c r="K90" s="40"/>
      <c r="L90" s="13"/>
      <c r="M90" s="9"/>
    </row>
    <row r="91" spans="1:13" x14ac:dyDescent="0.2">
      <c r="A91" s="5"/>
      <c r="B91" s="10"/>
      <c r="C91" s="36">
        <f t="shared" si="1"/>
        <v>59</v>
      </c>
      <c r="D91" s="57" t="str">
        <f>IFERROR(VLOOKUP($C91,efetivo!$A:$C,2,FALSE),"")</f>
        <v>GILMAR GRISON</v>
      </c>
      <c r="E91" s="38"/>
      <c r="F91" s="38"/>
      <c r="G91" s="39"/>
      <c r="H91" s="37" t="str">
        <f>IFERROR(VLOOKUP($C91,efetivo!$A:$C,3,FALSE),"")</f>
        <v>ENCARREGADA DE RH</v>
      </c>
      <c r="I91" s="38"/>
      <c r="J91" s="38"/>
      <c r="K91" s="40"/>
      <c r="L91" s="13"/>
      <c r="M91" s="9"/>
    </row>
    <row r="92" spans="1:13" x14ac:dyDescent="0.2">
      <c r="A92" s="5"/>
      <c r="B92" s="10"/>
      <c r="C92" s="36">
        <f t="shared" si="1"/>
        <v>60</v>
      </c>
      <c r="D92" s="57" t="str">
        <f>IFERROR(VLOOKUP($C92,efetivo!$A:$C,2,FALSE),"")</f>
        <v>VITALINO FRANCISCO DE PAULA</v>
      </c>
      <c r="E92" s="38"/>
      <c r="F92" s="38"/>
      <c r="G92" s="39"/>
      <c r="H92" s="37" t="str">
        <f>IFERROR(VLOOKUP($C92,efetivo!$A:$C,3,FALSE),"")</f>
        <v>ENCARREGADO DE LABORATORIO</v>
      </c>
      <c r="I92" s="38"/>
      <c r="J92" s="38"/>
      <c r="K92" s="40"/>
      <c r="L92" s="13"/>
      <c r="M92" s="9"/>
    </row>
    <row r="93" spans="1:13" x14ac:dyDescent="0.2">
      <c r="A93" s="5"/>
      <c r="B93" s="10"/>
      <c r="C93" s="36">
        <f t="shared" si="1"/>
        <v>61</v>
      </c>
      <c r="D93" s="57" t="str">
        <f>IFERROR(VLOOKUP($C93,efetivo!$A:$C,2,FALSE),"")</f>
        <v>SIDNEI FARIAS GUIMARAES</v>
      </c>
      <c r="E93" s="38"/>
      <c r="F93" s="38"/>
      <c r="G93" s="39"/>
      <c r="H93" s="37" t="str">
        <f>IFERROR(VLOOKUP($C93,efetivo!$A:$C,3,FALSE),"")</f>
        <v xml:space="preserve">ENCARREGADO DE OBRA DE ARTE </v>
      </c>
      <c r="I93" s="38"/>
      <c r="J93" s="38"/>
      <c r="K93" s="40"/>
      <c r="L93" s="13"/>
      <c r="M93" s="9"/>
    </row>
    <row r="94" spans="1:13" x14ac:dyDescent="0.2">
      <c r="A94" s="5"/>
      <c r="B94" s="10"/>
      <c r="C94" s="36">
        <f t="shared" si="1"/>
        <v>62</v>
      </c>
      <c r="D94" s="57" t="str">
        <f>IFERROR(VLOOKUP($C94,efetivo!$A:$C,2,FALSE),"")</f>
        <v xml:space="preserve">JAIME BARBOSA DA SILVA </v>
      </c>
      <c r="E94" s="38"/>
      <c r="F94" s="38"/>
      <c r="G94" s="39"/>
      <c r="H94" s="37" t="str">
        <f>IFERROR(VLOOKUP($C94,efetivo!$A:$C,3,FALSE),"")</f>
        <v xml:space="preserve">ENCARREGADO DE PAVIMENTACAO II </v>
      </c>
      <c r="I94" s="38"/>
      <c r="J94" s="38"/>
      <c r="K94" s="40"/>
      <c r="L94" s="13"/>
      <c r="M94" s="9"/>
    </row>
    <row r="95" spans="1:13" x14ac:dyDescent="0.2">
      <c r="A95" s="5"/>
      <c r="B95" s="10"/>
      <c r="C95" s="36">
        <f t="shared" si="1"/>
        <v>63</v>
      </c>
      <c r="D95" s="57" t="str">
        <f>IFERROR(VLOOKUP($C95,efetivo!$A:$C,2,FALSE),"")</f>
        <v xml:space="preserve">RICARDO DE JESUS RAPHAEL </v>
      </c>
      <c r="E95" s="38"/>
      <c r="F95" s="38"/>
      <c r="G95" s="39"/>
      <c r="H95" s="37" t="str">
        <f>IFERROR(VLOOKUP($C95,efetivo!$A:$C,3,FALSE),"")</f>
        <v>ENCARREGADO DE PRODUÇÃO</v>
      </c>
      <c r="I95" s="38"/>
      <c r="J95" s="38"/>
      <c r="K95" s="40"/>
      <c r="L95" s="13"/>
      <c r="M95" s="9"/>
    </row>
    <row r="96" spans="1:13" x14ac:dyDescent="0.2">
      <c r="A96" s="5"/>
      <c r="B96" s="10"/>
      <c r="C96" s="36">
        <f t="shared" si="1"/>
        <v>64</v>
      </c>
      <c r="D96" s="57" t="str">
        <f>IFERROR(VLOOKUP($C96,efetivo!$A:$C,2,FALSE),"")</f>
        <v xml:space="preserve">GILDO RIBEIRO </v>
      </c>
      <c r="E96" s="38"/>
      <c r="F96" s="38"/>
      <c r="G96" s="39"/>
      <c r="H96" s="37" t="str">
        <f>IFERROR(VLOOKUP($C96,efetivo!$A:$C,3,FALSE),"")</f>
        <v xml:space="preserve">ENCARREGADO DE TERRAPLENAGEM </v>
      </c>
      <c r="I96" s="38"/>
      <c r="J96" s="38"/>
      <c r="K96" s="40"/>
      <c r="L96" s="13"/>
      <c r="M96" s="9"/>
    </row>
    <row r="97" spans="1:13" x14ac:dyDescent="0.2">
      <c r="A97" s="5"/>
      <c r="B97" s="10"/>
      <c r="C97" s="36">
        <f t="shared" si="1"/>
        <v>65</v>
      </c>
      <c r="D97" s="57" t="str">
        <f>IFERROR(VLOOKUP($C97,efetivo!$A:$C,2,FALSE),"")</f>
        <v xml:space="preserve">TAROMEDES FRIMOS DOS SANTOS </v>
      </c>
      <c r="E97" s="38"/>
      <c r="F97" s="38"/>
      <c r="G97" s="39"/>
      <c r="H97" s="37" t="str">
        <f>IFERROR(VLOOKUP($C97,efetivo!$A:$C,3,FALSE),"")</f>
        <v>ENCARREGADO GERAL DE OBRAS</v>
      </c>
      <c r="I97" s="38"/>
      <c r="J97" s="38"/>
      <c r="K97" s="40"/>
      <c r="L97" s="13"/>
      <c r="M97" s="9"/>
    </row>
    <row r="98" spans="1:13" x14ac:dyDescent="0.2">
      <c r="A98" s="5"/>
      <c r="B98" s="10"/>
      <c r="C98" s="36">
        <f t="shared" si="1"/>
        <v>66</v>
      </c>
      <c r="D98" s="57" t="str">
        <f>IFERROR(VLOOKUP($C98,efetivo!$A:$C,2,FALSE),"")</f>
        <v xml:space="preserve">EDIVALDO ROSALINO </v>
      </c>
      <c r="E98" s="38"/>
      <c r="F98" s="38"/>
      <c r="G98" s="39"/>
      <c r="H98" s="37" t="str">
        <f>IFERROR(VLOOKUP($C98,efetivo!$A:$C,3,FALSE),"")</f>
        <v xml:space="preserve">ENCARREGADO UNIDADE INDUSTIRAL </v>
      </c>
      <c r="I98" s="38"/>
      <c r="J98" s="38"/>
      <c r="K98" s="40"/>
      <c r="L98" s="13"/>
      <c r="M98" s="9"/>
    </row>
    <row r="99" spans="1:13" x14ac:dyDescent="0.2">
      <c r="A99" s="5"/>
      <c r="B99" s="10"/>
      <c r="C99" s="36">
        <f t="shared" si="1"/>
        <v>67</v>
      </c>
      <c r="D99" s="57" t="str">
        <f>IFERROR(VLOOKUP($C99,efetivo!$A:$C,2,FALSE),"")</f>
        <v>EDERALDO ANTONIO TEODORO</v>
      </c>
      <c r="E99" s="38"/>
      <c r="F99" s="38"/>
      <c r="G99" s="39"/>
      <c r="H99" s="37" t="str">
        <f>IFERROR(VLOOKUP($C99,efetivo!$A:$C,3,FALSE),"")</f>
        <v>FEITOR DE ARMAÇÃO</v>
      </c>
      <c r="I99" s="38"/>
      <c r="J99" s="38"/>
      <c r="K99" s="40"/>
      <c r="L99" s="13"/>
      <c r="M99" s="9"/>
    </row>
    <row r="100" spans="1:13" x14ac:dyDescent="0.2">
      <c r="A100" s="5"/>
      <c r="B100" s="10"/>
      <c r="C100" s="36">
        <f t="shared" si="1"/>
        <v>68</v>
      </c>
      <c r="D100" s="57" t="str">
        <f>IFERROR(VLOOKUP($C100,efetivo!$A:$C,2,FALSE),"")</f>
        <v>CACIANO BARBOSA DOS SANTOS</v>
      </c>
      <c r="E100" s="38"/>
      <c r="F100" s="38"/>
      <c r="G100" s="39"/>
      <c r="H100" s="37" t="str">
        <f>IFERROR(VLOOKUP($C100,efetivo!$A:$C,3,FALSE),"")</f>
        <v>FEITOR DE BRITAGEM</v>
      </c>
      <c r="I100" s="38"/>
      <c r="J100" s="38"/>
      <c r="K100" s="40"/>
      <c r="L100" s="13"/>
      <c r="M100" s="9"/>
    </row>
    <row r="101" spans="1:13" x14ac:dyDescent="0.2">
      <c r="A101" s="5"/>
      <c r="B101" s="10"/>
      <c r="C101" s="36">
        <f t="shared" si="1"/>
        <v>69</v>
      </c>
      <c r="D101" s="57" t="str">
        <f>IFERROR(VLOOKUP($C101,efetivo!$A:$C,2,FALSE),"")</f>
        <v>CLEBERSON FELIX DE OLIVEIRA</v>
      </c>
      <c r="E101" s="38"/>
      <c r="F101" s="38"/>
      <c r="G101" s="39"/>
      <c r="H101" s="37" t="str">
        <f>IFERROR(VLOOKUP($C101,efetivo!$A:$C,3,FALSE),"")</f>
        <v>FEITOR DE CARPINTARIA</v>
      </c>
      <c r="I101" s="38"/>
      <c r="J101" s="38"/>
      <c r="K101" s="40"/>
      <c r="L101" s="13"/>
      <c r="M101" s="9"/>
    </row>
    <row r="102" spans="1:13" x14ac:dyDescent="0.2">
      <c r="A102" s="5"/>
      <c r="B102" s="10"/>
      <c r="C102" s="36">
        <f t="shared" si="1"/>
        <v>70</v>
      </c>
      <c r="D102" s="57" t="str">
        <f>IFERROR(VLOOKUP($C102,efetivo!$A:$C,2,FALSE),"")</f>
        <v>LUCIANO RODRIGUES DE AZEVEDO</v>
      </c>
      <c r="E102" s="38"/>
      <c r="F102" s="38"/>
      <c r="G102" s="39"/>
      <c r="H102" s="37" t="str">
        <f>IFERROR(VLOOKUP($C102,efetivo!$A:$C,3,FALSE),"")</f>
        <v>FEITOR DE CARPINTARIA</v>
      </c>
      <c r="I102" s="38"/>
      <c r="J102" s="38"/>
      <c r="K102" s="40"/>
      <c r="L102" s="13"/>
      <c r="M102" s="9"/>
    </row>
    <row r="103" spans="1:13" x14ac:dyDescent="0.2">
      <c r="A103" s="5"/>
      <c r="B103" s="10"/>
      <c r="C103" s="36">
        <f t="shared" si="1"/>
        <v>71</v>
      </c>
      <c r="D103" s="57" t="str">
        <f>IFERROR(VLOOKUP($C103,efetivo!$A:$C,2,FALSE),"")</f>
        <v>ALECIO MARTINS</v>
      </c>
      <c r="E103" s="38"/>
      <c r="F103" s="38"/>
      <c r="G103" s="39"/>
      <c r="H103" s="37" t="str">
        <f>IFERROR(VLOOKUP($C103,efetivo!$A:$C,3,FALSE),"")</f>
        <v>FEITOR DE SERVIÇOS GERAIS</v>
      </c>
      <c r="I103" s="38"/>
      <c r="J103" s="38"/>
      <c r="K103" s="40"/>
      <c r="L103" s="13"/>
      <c r="M103" s="9"/>
    </row>
    <row r="104" spans="1:13" x14ac:dyDescent="0.2">
      <c r="A104" s="5"/>
      <c r="B104" s="10"/>
      <c r="C104" s="36">
        <f t="shared" si="1"/>
        <v>72</v>
      </c>
      <c r="D104" s="57" t="str">
        <f>IFERROR(VLOOKUP($C104,efetivo!$A:$C,2,FALSE),"")</f>
        <v>EMERSON LOPES MAXIMIANO</v>
      </c>
      <c r="E104" s="38"/>
      <c r="F104" s="38"/>
      <c r="G104" s="39"/>
      <c r="H104" s="37" t="str">
        <f>IFERROR(VLOOKUP($C104,efetivo!$A:$C,3,FALSE),"")</f>
        <v>FEITOR OAE</v>
      </c>
      <c r="I104" s="38"/>
      <c r="J104" s="38"/>
      <c r="K104" s="40"/>
      <c r="L104" s="13"/>
      <c r="M104" s="9"/>
    </row>
    <row r="105" spans="1:13" x14ac:dyDescent="0.2">
      <c r="A105" s="5"/>
      <c r="B105" s="10"/>
      <c r="C105" s="36">
        <f t="shared" si="1"/>
        <v>73</v>
      </c>
      <c r="D105" s="57" t="str">
        <f>IFERROR(VLOOKUP($C105,efetivo!$A:$C,2,FALSE),"")</f>
        <v>HELIO NUNES DA SILVA</v>
      </c>
      <c r="E105" s="38"/>
      <c r="F105" s="38"/>
      <c r="G105" s="39"/>
      <c r="H105" s="37" t="str">
        <f>IFERROR(VLOOKUP($C105,efetivo!$A:$C,3,FALSE),"")</f>
        <v>FEITOR OAE</v>
      </c>
      <c r="I105" s="38"/>
      <c r="J105" s="38"/>
      <c r="K105" s="40"/>
      <c r="L105" s="13"/>
      <c r="M105" s="9"/>
    </row>
    <row r="106" spans="1:13" x14ac:dyDescent="0.2">
      <c r="A106" s="5"/>
      <c r="B106" s="10"/>
      <c r="C106" s="36">
        <f t="shared" si="1"/>
        <v>74</v>
      </c>
      <c r="D106" s="57" t="str">
        <f>IFERROR(VLOOKUP($C106,efetivo!$A:$C,2,FALSE),"")</f>
        <v xml:space="preserve">FAGNER DE  CARVALHO </v>
      </c>
      <c r="E106" s="38"/>
      <c r="F106" s="38"/>
      <c r="G106" s="39"/>
      <c r="H106" s="37" t="str">
        <f>IFERROR(VLOOKUP($C106,efetivo!$A:$C,3,FALSE),"")</f>
        <v>LABORATORISTA I</v>
      </c>
      <c r="I106" s="38"/>
      <c r="J106" s="38"/>
      <c r="K106" s="40"/>
      <c r="L106" s="13"/>
      <c r="M106" s="9"/>
    </row>
    <row r="107" spans="1:13" x14ac:dyDescent="0.2">
      <c r="A107" s="5"/>
      <c r="B107" s="10"/>
      <c r="C107" s="36">
        <f t="shared" si="1"/>
        <v>75</v>
      </c>
      <c r="D107" s="57" t="str">
        <f>IFERROR(VLOOKUP($C107,efetivo!$A:$C,2,FALSE),"")</f>
        <v>CLEBER MATIAS</v>
      </c>
      <c r="E107" s="38"/>
      <c r="F107" s="38"/>
      <c r="G107" s="39"/>
      <c r="H107" s="37" t="str">
        <f>IFERROR(VLOOKUP($C107,efetivo!$A:$C,3,FALSE),"")</f>
        <v>LABORATORISTA II</v>
      </c>
      <c r="I107" s="38"/>
      <c r="J107" s="38"/>
      <c r="K107" s="40"/>
      <c r="L107" s="13"/>
      <c r="M107" s="9"/>
    </row>
    <row r="108" spans="1:13" x14ac:dyDescent="0.2">
      <c r="A108" s="5"/>
      <c r="B108" s="10"/>
      <c r="C108" s="36">
        <f t="shared" si="1"/>
        <v>76</v>
      </c>
      <c r="D108" s="57" t="str">
        <f>IFERROR(VLOOKUP($C108,efetivo!$A:$C,2,FALSE),"")</f>
        <v>JOSE HENRIQUE ALVES DA SILVA</v>
      </c>
      <c r="E108" s="38"/>
      <c r="F108" s="38"/>
      <c r="G108" s="39"/>
      <c r="H108" s="37" t="str">
        <f>IFERROR(VLOOKUP($C108,efetivo!$A:$C,3,FALSE),"")</f>
        <v>LUBRIFICADOR I</v>
      </c>
      <c r="I108" s="38"/>
      <c r="J108" s="38"/>
      <c r="K108" s="40"/>
      <c r="L108" s="13"/>
      <c r="M108" s="9"/>
    </row>
    <row r="109" spans="1:13" x14ac:dyDescent="0.2">
      <c r="A109" s="5"/>
      <c r="B109" s="10"/>
      <c r="C109" s="36">
        <f t="shared" si="1"/>
        <v>77</v>
      </c>
      <c r="D109" s="57" t="str">
        <f>IFERROR(VLOOKUP($C109,efetivo!$A:$C,2,FALSE),"")</f>
        <v>BRUNO CESAR OLIVEIRA DE ANDRADE</v>
      </c>
      <c r="E109" s="38"/>
      <c r="F109" s="38"/>
      <c r="G109" s="39"/>
      <c r="H109" s="37" t="str">
        <f>IFERROR(VLOOKUP($C109,efetivo!$A:$C,3,FALSE),"")</f>
        <v>LUBRIFICADOR I</v>
      </c>
      <c r="I109" s="38"/>
      <c r="J109" s="38"/>
      <c r="K109" s="40"/>
      <c r="L109" s="13"/>
      <c r="M109" s="9"/>
    </row>
    <row r="110" spans="1:13" x14ac:dyDescent="0.2">
      <c r="A110" s="5"/>
      <c r="B110" s="10"/>
      <c r="C110" s="36">
        <f t="shared" si="1"/>
        <v>78</v>
      </c>
      <c r="D110" s="57" t="str">
        <f>IFERROR(VLOOKUP($C110,efetivo!$A:$C,2,FALSE),"")</f>
        <v>RODNEY PEREIRA SOARES</v>
      </c>
      <c r="E110" s="38"/>
      <c r="F110" s="38"/>
      <c r="G110" s="39"/>
      <c r="H110" s="37" t="str">
        <f>IFERROR(VLOOKUP($C110,efetivo!$A:$C,3,FALSE),"")</f>
        <v>MOTORISTA CAMINHAO BETONEIRA</v>
      </c>
      <c r="I110" s="38"/>
      <c r="J110" s="38"/>
      <c r="K110" s="40"/>
      <c r="L110" s="13"/>
      <c r="M110" s="9"/>
    </row>
    <row r="111" spans="1:13" x14ac:dyDescent="0.2">
      <c r="A111" s="5"/>
      <c r="B111" s="10"/>
      <c r="C111" s="36">
        <f t="shared" si="1"/>
        <v>79</v>
      </c>
      <c r="D111" s="57" t="str">
        <f>IFERROR(VLOOKUP($C111,efetivo!$A:$C,2,FALSE),"")</f>
        <v xml:space="preserve">CARLOS ROBERTO DA CUNHA   </v>
      </c>
      <c r="E111" s="38"/>
      <c r="F111" s="38"/>
      <c r="G111" s="39"/>
      <c r="H111" s="37" t="str">
        <f>IFERROR(VLOOKUP($C111,efetivo!$A:$C,3,FALSE),"")</f>
        <v>MOTORISTA CAMINHAO BETONEIRA</v>
      </c>
      <c r="I111" s="38"/>
      <c r="J111" s="38"/>
      <c r="K111" s="40"/>
      <c r="L111" s="13"/>
      <c r="M111" s="9"/>
    </row>
    <row r="112" spans="1:13" x14ac:dyDescent="0.2">
      <c r="A112" s="5"/>
      <c r="B112" s="10"/>
      <c r="C112" s="36">
        <f t="shared" si="1"/>
        <v>80</v>
      </c>
      <c r="D112" s="57" t="str">
        <f>IFERROR(VLOOKUP($C112,efetivo!$A:$C,2,FALSE),"")</f>
        <v>ALEXANDRO LOPES DE SOUZA</v>
      </c>
      <c r="E112" s="38"/>
      <c r="F112" s="38"/>
      <c r="G112" s="39"/>
      <c r="H112" s="37" t="str">
        <f>IFERROR(VLOOKUP($C112,efetivo!$A:$C,3,FALSE),"")</f>
        <v>MOTORISTA CAMINHAO BETONEIRA</v>
      </c>
      <c r="I112" s="38"/>
      <c r="J112" s="38"/>
      <c r="K112" s="40"/>
      <c r="L112" s="13"/>
      <c r="M112" s="9"/>
    </row>
    <row r="113" spans="1:13" x14ac:dyDescent="0.2">
      <c r="A113" s="5"/>
      <c r="B113" s="10"/>
      <c r="C113" s="36">
        <f t="shared" si="1"/>
        <v>81</v>
      </c>
      <c r="D113" s="57" t="str">
        <f>IFERROR(VLOOKUP($C113,efetivo!$A:$C,2,FALSE),"")</f>
        <v>JOSE CARLOS FERRER MAGAROTE</v>
      </c>
      <c r="E113" s="38"/>
      <c r="F113" s="38"/>
      <c r="G113" s="39"/>
      <c r="H113" s="37" t="str">
        <f>IFERROR(VLOOKUP($C113,efetivo!$A:$C,3,FALSE),"")</f>
        <v>MOTORISTA COMBOIO</v>
      </c>
      <c r="I113" s="38"/>
      <c r="J113" s="38"/>
      <c r="K113" s="40"/>
      <c r="L113" s="13"/>
      <c r="M113" s="9"/>
    </row>
    <row r="114" spans="1:13" x14ac:dyDescent="0.2">
      <c r="A114" s="5"/>
      <c r="B114" s="10"/>
      <c r="C114" s="36">
        <f t="shared" si="1"/>
        <v>82</v>
      </c>
      <c r="D114" s="57" t="str">
        <f>IFERROR(VLOOKUP($C114,efetivo!$A:$C,2,FALSE),"")</f>
        <v>RODRIGO MAURICIO BARRETO</v>
      </c>
      <c r="E114" s="38"/>
      <c r="F114" s="38"/>
      <c r="G114" s="39"/>
      <c r="H114" s="37" t="str">
        <f>IFERROR(VLOOKUP($C114,efetivo!$A:$C,3,FALSE),"")</f>
        <v>MOTORISTA DE CAMINHÃO BASCULANTE I</v>
      </c>
      <c r="I114" s="38"/>
      <c r="J114" s="38"/>
      <c r="K114" s="40"/>
      <c r="L114" s="13"/>
      <c r="M114" s="9"/>
    </row>
    <row r="115" spans="1:13" x14ac:dyDescent="0.2">
      <c r="A115" s="5"/>
      <c r="B115" s="10"/>
      <c r="C115" s="36">
        <f t="shared" si="1"/>
        <v>83</v>
      </c>
      <c r="D115" s="57" t="str">
        <f>IFERROR(VLOOKUP($C115,efetivo!$A:$C,2,FALSE),"")</f>
        <v xml:space="preserve">FABRICIO SOUZA MOREIRA                  </v>
      </c>
      <c r="E115" s="38"/>
      <c r="F115" s="38"/>
      <c r="G115" s="39"/>
      <c r="H115" s="37" t="str">
        <f>IFERROR(VLOOKUP($C115,efetivo!$A:$C,3,FALSE),"")</f>
        <v>MOTORISTA DE CAMINHÃO BASCULANTE I</v>
      </c>
      <c r="I115" s="38"/>
      <c r="J115" s="38"/>
      <c r="K115" s="40"/>
      <c r="L115" s="13"/>
      <c r="M115" s="9"/>
    </row>
    <row r="116" spans="1:13" x14ac:dyDescent="0.2">
      <c r="A116" s="5"/>
      <c r="B116" s="10"/>
      <c r="C116" s="36">
        <f t="shared" si="1"/>
        <v>84</v>
      </c>
      <c r="D116" s="57" t="str">
        <f>IFERROR(VLOOKUP($C116,efetivo!$A:$C,2,FALSE),"")</f>
        <v xml:space="preserve"> ADALBERTO SANTOS VIEIRA              </v>
      </c>
      <c r="E116" s="38"/>
      <c r="F116" s="38"/>
      <c r="G116" s="39"/>
      <c r="H116" s="37" t="str">
        <f>IFERROR(VLOOKUP($C116,efetivo!$A:$C,3,FALSE),"")</f>
        <v>MOTORISTA DE CAMINHÃO BASCULANTE I</v>
      </c>
      <c r="I116" s="38"/>
      <c r="J116" s="38"/>
      <c r="K116" s="40"/>
      <c r="L116" s="13"/>
      <c r="M116" s="9"/>
    </row>
    <row r="117" spans="1:13" x14ac:dyDescent="0.2">
      <c r="A117" s="5"/>
      <c r="B117" s="10"/>
      <c r="C117" s="36">
        <f t="shared" si="1"/>
        <v>85</v>
      </c>
      <c r="D117" s="57" t="str">
        <f>IFERROR(VLOOKUP($C117,efetivo!$A:$C,2,FALSE),"")</f>
        <v>DEOVANI TEODORO DA SILVA</v>
      </c>
      <c r="E117" s="38"/>
      <c r="F117" s="38"/>
      <c r="G117" s="39"/>
      <c r="H117" s="37" t="str">
        <f>IFERROR(VLOOKUP($C117,efetivo!$A:$C,3,FALSE),"")</f>
        <v>MOTORISTA DE CAMINHÃO BASCULANTE I</v>
      </c>
      <c r="I117" s="38"/>
      <c r="J117" s="38"/>
      <c r="K117" s="40"/>
      <c r="L117" s="13"/>
      <c r="M117" s="9"/>
    </row>
    <row r="118" spans="1:13" ht="13.5" thickBot="1" x14ac:dyDescent="0.25">
      <c r="A118" s="5"/>
      <c r="B118" s="10"/>
      <c r="C118" s="58">
        <f t="shared" si="1"/>
        <v>86</v>
      </c>
      <c r="D118" s="59" t="str">
        <f>IFERROR(VLOOKUP($C118,efetivo!$A:$C,2,FALSE),"")</f>
        <v>ISMAEL VICENTE DE SOUZA</v>
      </c>
      <c r="E118" s="25"/>
      <c r="F118" s="25"/>
      <c r="G118" s="44"/>
      <c r="H118" s="45" t="str">
        <f>IFERROR(VLOOKUP($C118,efetivo!$A:$C,3,FALSE),"")</f>
        <v>MOTORISTA DE CAMINHÃO BASCULANTE I</v>
      </c>
      <c r="I118" s="25"/>
      <c r="J118" s="46"/>
      <c r="K118" s="47"/>
      <c r="L118" s="13"/>
      <c r="M118" s="9"/>
    </row>
    <row r="119" spans="1:13" ht="13.5" thickBot="1" x14ac:dyDescent="0.25">
      <c r="A119" s="5"/>
      <c r="B119" s="48"/>
      <c r="C119" s="49"/>
      <c r="D119" s="49"/>
      <c r="E119" s="49"/>
      <c r="F119" s="49"/>
      <c r="G119" s="49"/>
      <c r="H119" s="49"/>
      <c r="I119" s="49"/>
      <c r="J119" s="49"/>
      <c r="K119" s="49"/>
      <c r="L119" s="50"/>
      <c r="M119" s="9"/>
    </row>
    <row r="120" spans="1:13" ht="13.5" thickBot="1" x14ac:dyDescent="0.25">
      <c r="A120" s="51"/>
      <c r="B120" s="52"/>
      <c r="C120" s="52"/>
      <c r="D120" s="52"/>
      <c r="E120" s="52"/>
      <c r="F120" s="52"/>
      <c r="G120" s="52"/>
      <c r="H120" s="52"/>
      <c r="I120" s="52"/>
      <c r="J120" s="52"/>
      <c r="K120" s="258"/>
      <c r="L120" s="258"/>
      <c r="M120" s="259"/>
    </row>
    <row r="124" spans="1:13" ht="13.5" thickBot="1" x14ac:dyDescent="0.25"/>
    <row r="125" spans="1:13" ht="13.5" thickBot="1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"/>
    </row>
    <row r="126" spans="1:13" ht="13.5" thickBot="1" x14ac:dyDescent="0.25">
      <c r="A126" s="5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8"/>
      <c r="M126" s="9"/>
    </row>
    <row r="127" spans="1:13" ht="15.75" customHeight="1" x14ac:dyDescent="0.2">
      <c r="A127" s="5"/>
      <c r="B127" s="10"/>
      <c r="C127" s="231"/>
      <c r="D127" s="232"/>
      <c r="E127" s="232"/>
      <c r="F127" s="232"/>
      <c r="G127" s="232"/>
      <c r="H127" s="232"/>
      <c r="I127" s="232"/>
      <c r="J127" s="232"/>
      <c r="K127" s="233"/>
      <c r="L127" s="13"/>
      <c r="M127" s="9"/>
    </row>
    <row r="128" spans="1:13" ht="15.75" customHeight="1" x14ac:dyDescent="0.2">
      <c r="A128" s="5"/>
      <c r="B128" s="10"/>
      <c r="C128" s="234"/>
      <c r="D128" s="235"/>
      <c r="E128" s="235"/>
      <c r="F128" s="235"/>
      <c r="G128" s="235"/>
      <c r="H128" s="235"/>
      <c r="I128" s="235"/>
      <c r="J128" s="235"/>
      <c r="K128" s="236"/>
      <c r="L128" s="13"/>
      <c r="M128" s="9"/>
    </row>
    <row r="129" spans="1:13" ht="15.75" customHeight="1" x14ac:dyDescent="0.2">
      <c r="A129" s="5"/>
      <c r="B129" s="10"/>
      <c r="C129" s="234"/>
      <c r="D129" s="235"/>
      <c r="E129" s="235"/>
      <c r="F129" s="235"/>
      <c r="G129" s="235"/>
      <c r="H129" s="235"/>
      <c r="I129" s="235"/>
      <c r="J129" s="235"/>
      <c r="K129" s="236"/>
      <c r="L129" s="13"/>
      <c r="M129" s="9"/>
    </row>
    <row r="130" spans="1:13" ht="16.5" customHeight="1" thickBot="1" x14ac:dyDescent="0.25">
      <c r="A130" s="5"/>
      <c r="B130" s="10"/>
      <c r="C130" s="237"/>
      <c r="D130" s="238"/>
      <c r="E130" s="238"/>
      <c r="F130" s="238"/>
      <c r="G130" s="238"/>
      <c r="H130" s="238"/>
      <c r="I130" s="238"/>
      <c r="J130" s="238"/>
      <c r="K130" s="239"/>
      <c r="L130" s="13"/>
      <c r="M130" s="9"/>
    </row>
    <row r="131" spans="1:13" ht="18.75" thickBot="1" x14ac:dyDescent="0.25">
      <c r="A131" s="5"/>
      <c r="B131" s="10"/>
      <c r="C131" s="11"/>
      <c r="E131" s="11"/>
      <c r="F131" s="11"/>
      <c r="G131" s="11"/>
      <c r="H131" s="11"/>
      <c r="I131" s="11"/>
      <c r="J131" s="18"/>
      <c r="K131" s="18"/>
      <c r="L131" s="13"/>
      <c r="M131" s="9"/>
    </row>
    <row r="132" spans="1:13" x14ac:dyDescent="0.2">
      <c r="A132" s="5"/>
      <c r="B132" s="10"/>
      <c r="C132" s="6" t="s">
        <v>1</v>
      </c>
      <c r="D132" s="7" t="s">
        <v>2</v>
      </c>
      <c r="E132" s="7"/>
      <c r="F132" s="7"/>
      <c r="G132" s="7"/>
      <c r="H132" s="7"/>
      <c r="I132" s="7"/>
      <c r="J132" s="19" t="s">
        <v>3</v>
      </c>
      <c r="K132" s="20" t="s">
        <v>4</v>
      </c>
      <c r="L132" s="13"/>
      <c r="M132" s="9"/>
    </row>
    <row r="133" spans="1:13" x14ac:dyDescent="0.2">
      <c r="A133" s="5"/>
      <c r="B133" s="10"/>
      <c r="C133" s="10" t="s">
        <v>5</v>
      </c>
      <c r="D133" s="4" t="s">
        <v>6</v>
      </c>
      <c r="I133" s="21"/>
      <c r="J133" s="22" t="s">
        <v>7</v>
      </c>
      <c r="K133" s="23">
        <v>13</v>
      </c>
      <c r="L133" s="13"/>
      <c r="M133" s="9"/>
    </row>
    <row r="134" spans="1:13" ht="33.6" customHeight="1" thickBot="1" x14ac:dyDescent="0.25">
      <c r="A134" s="5"/>
      <c r="B134" s="10"/>
      <c r="C134" s="24" t="s">
        <v>8</v>
      </c>
      <c r="D134" s="249" t="s">
        <v>9</v>
      </c>
      <c r="E134" s="249"/>
      <c r="F134" s="249"/>
      <c r="G134" s="249"/>
      <c r="H134" s="249"/>
      <c r="I134" s="25"/>
      <c r="J134" s="26" t="s">
        <v>10</v>
      </c>
      <c r="K134" s="27">
        <v>46235</v>
      </c>
      <c r="L134" s="13"/>
      <c r="M134" s="9"/>
    </row>
    <row r="135" spans="1:13" ht="9.6" customHeight="1" thickBot="1" x14ac:dyDescent="0.25">
      <c r="A135" s="5"/>
      <c r="B135" s="10"/>
      <c r="C135" s="7"/>
      <c r="K135" s="7"/>
      <c r="L135" s="13"/>
      <c r="M135" s="9"/>
    </row>
    <row r="136" spans="1:13" x14ac:dyDescent="0.2">
      <c r="A136" s="5"/>
      <c r="B136" s="10"/>
      <c r="C136" s="250" t="s">
        <v>11</v>
      </c>
      <c r="D136" s="252" t="s">
        <v>12</v>
      </c>
      <c r="E136" s="253"/>
      <c r="F136" s="253"/>
      <c r="G136" s="254"/>
      <c r="H136" s="252" t="s">
        <v>13</v>
      </c>
      <c r="I136" s="253"/>
      <c r="J136" s="253"/>
      <c r="K136" s="254"/>
      <c r="L136" s="13"/>
      <c r="M136" s="9"/>
    </row>
    <row r="137" spans="1:13" ht="13.5" thickBot="1" x14ac:dyDescent="0.25">
      <c r="A137" s="5"/>
      <c r="B137" s="10"/>
      <c r="C137" s="251"/>
      <c r="D137" s="255"/>
      <c r="E137" s="256"/>
      <c r="F137" s="256"/>
      <c r="G137" s="257"/>
      <c r="H137" s="255"/>
      <c r="I137" s="256"/>
      <c r="J137" s="256"/>
      <c r="K137" s="257"/>
      <c r="L137" s="13"/>
      <c r="M137" s="9"/>
    </row>
    <row r="138" spans="1:13" x14ac:dyDescent="0.2">
      <c r="A138" s="5"/>
      <c r="B138" s="10"/>
      <c r="C138" s="54">
        <f>C118+1</f>
        <v>87</v>
      </c>
      <c r="D138" s="55" t="str">
        <f>IFERROR(VLOOKUP($C138,efetivo!$A:$C,2,FALSE),"")</f>
        <v>ADEMIR APARECIDO BARBOSA</v>
      </c>
      <c r="E138" s="30"/>
      <c r="F138" s="30"/>
      <c r="G138" s="31"/>
      <c r="H138" s="32" t="str">
        <f>IFERROR(VLOOKUP($C138,efetivo!$A:$C,3,FALSE),"")</f>
        <v>MOTORISTA DE CAMINHÃO BASCULANTE I</v>
      </c>
      <c r="I138" s="33"/>
      <c r="J138" s="7"/>
      <c r="K138" s="8"/>
      <c r="L138" s="13"/>
      <c r="M138" s="9"/>
    </row>
    <row r="139" spans="1:13" x14ac:dyDescent="0.2">
      <c r="A139" s="5"/>
      <c r="B139" s="10"/>
      <c r="C139" s="56">
        <f t="shared" ref="C139:C179" si="2">C138+1</f>
        <v>88</v>
      </c>
      <c r="D139" s="57" t="str">
        <f>IFERROR(VLOOKUP($C139,efetivo!$A:$C,2,FALSE),"")</f>
        <v>CARLOS ALBERTO BATISTA DOS SANTOS SILVA</v>
      </c>
      <c r="E139" s="38"/>
      <c r="F139" s="38"/>
      <c r="G139" s="39"/>
      <c r="H139" s="37" t="str">
        <f>IFERROR(VLOOKUP($C139,efetivo!$A:$C,3,FALSE),"")</f>
        <v>MOTORISTA DE CAMINHÃO BASCULANTE I</v>
      </c>
      <c r="I139" s="38"/>
      <c r="J139" s="38"/>
      <c r="K139" s="40"/>
      <c r="L139" s="13"/>
      <c r="M139" s="9"/>
    </row>
    <row r="140" spans="1:13" x14ac:dyDescent="0.2">
      <c r="A140" s="5"/>
      <c r="B140" s="10"/>
      <c r="C140" s="36">
        <f t="shared" si="2"/>
        <v>89</v>
      </c>
      <c r="D140" s="57" t="str">
        <f>IFERROR(VLOOKUP($C140,efetivo!$A:$C,2,FALSE),"")</f>
        <v>GERSON DE SOUZA</v>
      </c>
      <c r="E140" s="38"/>
      <c r="F140" s="38"/>
      <c r="G140" s="39"/>
      <c r="H140" s="37" t="str">
        <f>IFERROR(VLOOKUP($C140,efetivo!$A:$C,3,FALSE),"")</f>
        <v>MOTORISTA DE CAMINHÃO BASCULANTE I</v>
      </c>
      <c r="I140" s="38"/>
      <c r="J140" s="38"/>
      <c r="K140" s="40"/>
      <c r="L140" s="13"/>
      <c r="M140" s="9"/>
    </row>
    <row r="141" spans="1:13" x14ac:dyDescent="0.2">
      <c r="A141" s="5"/>
      <c r="B141" s="10"/>
      <c r="C141" s="56">
        <f t="shared" si="2"/>
        <v>90</v>
      </c>
      <c r="D141" s="57" t="str">
        <f>IFERROR(VLOOKUP($C141,efetivo!$A:$C,2,FALSE),"")</f>
        <v xml:space="preserve">JUCELIO NASCIMENTO DOS SANTOS </v>
      </c>
      <c r="E141" s="38"/>
      <c r="F141" s="38"/>
      <c r="G141" s="39"/>
      <c r="H141" s="37" t="str">
        <f>IFERROR(VLOOKUP($C141,efetivo!$A:$C,3,FALSE),"")</f>
        <v>MOTORISTA DE CAMINHÃO BASCULANTE I</v>
      </c>
      <c r="I141" s="38"/>
      <c r="J141" s="38"/>
      <c r="K141" s="40"/>
      <c r="L141" s="13"/>
      <c r="M141" s="9"/>
    </row>
    <row r="142" spans="1:13" x14ac:dyDescent="0.2">
      <c r="A142" s="5"/>
      <c r="B142" s="10"/>
      <c r="C142" s="36">
        <f t="shared" si="2"/>
        <v>91</v>
      </c>
      <c r="D142" s="57" t="str">
        <f>IFERROR(VLOOKUP($C142,efetivo!$A:$C,2,FALSE),"")</f>
        <v>MARCOS ROBERTO ZAVATINI</v>
      </c>
      <c r="E142" s="38"/>
      <c r="F142" s="38"/>
      <c r="G142" s="39"/>
      <c r="H142" s="37" t="str">
        <f>IFERROR(VLOOKUP($C142,efetivo!$A:$C,3,FALSE),"")</f>
        <v>MOTORISTA DE CAMINHÃO BASCULANTE I</v>
      </c>
      <c r="I142" s="38"/>
      <c r="J142" s="38"/>
      <c r="K142" s="40"/>
      <c r="L142" s="13"/>
      <c r="M142" s="9"/>
    </row>
    <row r="143" spans="1:13" x14ac:dyDescent="0.2">
      <c r="A143" s="5"/>
      <c r="B143" s="10"/>
      <c r="C143" s="56">
        <f t="shared" si="2"/>
        <v>92</v>
      </c>
      <c r="D143" s="57" t="str">
        <f>IFERROR(VLOOKUP($C143,efetivo!$A:$C,2,FALSE),"")</f>
        <v>MAURO ITO</v>
      </c>
      <c r="E143" s="38"/>
      <c r="F143" s="38"/>
      <c r="G143" s="39"/>
      <c r="H143" s="37" t="str">
        <f>IFERROR(VLOOKUP($C143,efetivo!$A:$C,3,FALSE),"")</f>
        <v>MOTORISTA DE CAMINHÃO BASCULANTE I</v>
      </c>
      <c r="I143" s="38"/>
      <c r="J143" s="38"/>
      <c r="K143" s="40"/>
      <c r="L143" s="13"/>
      <c r="M143" s="9"/>
    </row>
    <row r="144" spans="1:13" x14ac:dyDescent="0.2">
      <c r="A144" s="5"/>
      <c r="B144" s="10"/>
      <c r="C144" s="36">
        <f t="shared" si="2"/>
        <v>93</v>
      </c>
      <c r="D144" s="57" t="str">
        <f>IFERROR(VLOOKUP($C144,efetivo!$A:$C,2,FALSE),"")</f>
        <v xml:space="preserve">NATALINO RODRIGUES </v>
      </c>
      <c r="E144" s="38"/>
      <c r="F144" s="38"/>
      <c r="G144" s="39"/>
      <c r="H144" s="37" t="str">
        <f>IFERROR(VLOOKUP($C144,efetivo!$A:$C,3,FALSE),"")</f>
        <v>MOTORISTA DE CAMINHÃO BASCULANTE I</v>
      </c>
      <c r="I144" s="38"/>
      <c r="J144" s="38"/>
      <c r="K144" s="40"/>
      <c r="L144" s="13"/>
      <c r="M144" s="9"/>
    </row>
    <row r="145" spans="1:13" x14ac:dyDescent="0.2">
      <c r="A145" s="5"/>
      <c r="B145" s="10"/>
      <c r="C145" s="56">
        <f t="shared" si="2"/>
        <v>94</v>
      </c>
      <c r="D145" s="57" t="str">
        <f>IFERROR(VLOOKUP($C145,efetivo!$A:$C,2,FALSE),"")</f>
        <v xml:space="preserve">OSMARIO TIBURCIO DOS SANTOS </v>
      </c>
      <c r="E145" s="38"/>
      <c r="F145" s="38"/>
      <c r="G145" s="39"/>
      <c r="H145" s="37" t="str">
        <f>IFERROR(VLOOKUP($C145,efetivo!$A:$C,3,FALSE),"")</f>
        <v>MOTORISTA DE CAMINHÃO BASCULANTE I</v>
      </c>
      <c r="I145" s="38"/>
      <c r="J145" s="38"/>
      <c r="K145" s="40"/>
      <c r="L145" s="13"/>
      <c r="M145" s="9"/>
    </row>
    <row r="146" spans="1:13" x14ac:dyDescent="0.2">
      <c r="A146" s="5"/>
      <c r="B146" s="10"/>
      <c r="C146" s="36">
        <f t="shared" si="2"/>
        <v>95</v>
      </c>
      <c r="D146" s="57" t="str">
        <f>IFERROR(VLOOKUP($C146,efetivo!$A:$C,2,FALSE),"")</f>
        <v>RICARDO ROGERIO DOS SANTOS</v>
      </c>
      <c r="E146" s="38"/>
      <c r="F146" s="38"/>
      <c r="G146" s="39"/>
      <c r="H146" s="37" t="str">
        <f>IFERROR(VLOOKUP($C146,efetivo!$A:$C,3,FALSE),"")</f>
        <v>MOTORISTA DE CAMINHÃO BASCULANTE I</v>
      </c>
      <c r="I146" s="38"/>
      <c r="J146" s="38"/>
      <c r="K146" s="40"/>
      <c r="L146" s="13"/>
      <c r="M146" s="9"/>
    </row>
    <row r="147" spans="1:13" x14ac:dyDescent="0.2">
      <c r="A147" s="5"/>
      <c r="B147" s="10"/>
      <c r="C147" s="56">
        <f t="shared" si="2"/>
        <v>96</v>
      </c>
      <c r="D147" s="57" t="str">
        <f>IFERROR(VLOOKUP($C147,efetivo!$A:$C,2,FALSE),"")</f>
        <v>ANTONIO SEBASTIAO DELFINO</v>
      </c>
      <c r="E147" s="38"/>
      <c r="F147" s="38"/>
      <c r="G147" s="39"/>
      <c r="H147" s="37" t="str">
        <f>IFERROR(VLOOKUP($C147,efetivo!$A:$C,3,FALSE),"")</f>
        <v>MOTORISTA DE CAMINHÃO I</v>
      </c>
      <c r="I147" s="38"/>
      <c r="J147" s="38"/>
      <c r="K147" s="40"/>
      <c r="L147" s="13"/>
      <c r="M147" s="9"/>
    </row>
    <row r="148" spans="1:13" x14ac:dyDescent="0.2">
      <c r="A148" s="5"/>
      <c r="B148" s="10"/>
      <c r="C148" s="36">
        <f t="shared" si="2"/>
        <v>97</v>
      </c>
      <c r="D148" s="57" t="str">
        <f>IFERROR(VLOOKUP($C148,efetivo!$A:$C,2,FALSE),"")</f>
        <v>JONES DE SOUZA</v>
      </c>
      <c r="E148" s="38"/>
      <c r="F148" s="38"/>
      <c r="G148" s="39"/>
      <c r="H148" s="37" t="str">
        <f>IFERROR(VLOOKUP($C148,efetivo!$A:$C,3,FALSE),"")</f>
        <v>MOTORISTA DE CAMINHÃO I</v>
      </c>
      <c r="I148" s="38"/>
      <c r="J148" s="38"/>
      <c r="K148" s="40"/>
      <c r="L148" s="13"/>
      <c r="M148" s="9"/>
    </row>
    <row r="149" spans="1:13" x14ac:dyDescent="0.2">
      <c r="A149" s="5"/>
      <c r="B149" s="10"/>
      <c r="C149" s="56">
        <f t="shared" si="2"/>
        <v>98</v>
      </c>
      <c r="D149" s="57" t="str">
        <f>IFERROR(VLOOKUP($C149,efetivo!$A:$C,2,FALSE),"")</f>
        <v>ELIAS MANZANA GARCIA</v>
      </c>
      <c r="E149" s="38"/>
      <c r="F149" s="38"/>
      <c r="G149" s="39"/>
      <c r="H149" s="37" t="str">
        <f>IFERROR(VLOOKUP($C149,efetivo!$A:$C,3,FALSE),"")</f>
        <v>MOTORISTA DE CAMINHÃO I</v>
      </c>
      <c r="I149" s="38"/>
      <c r="J149" s="38"/>
      <c r="K149" s="40"/>
      <c r="L149" s="13"/>
      <c r="M149" s="9"/>
    </row>
    <row r="150" spans="1:13" x14ac:dyDescent="0.2">
      <c r="A150" s="5"/>
      <c r="B150" s="10"/>
      <c r="C150" s="36">
        <f t="shared" si="2"/>
        <v>99</v>
      </c>
      <c r="D150" s="57" t="str">
        <f>IFERROR(VLOOKUP($C150,efetivo!$A:$C,2,FALSE),"")</f>
        <v>LUIZ FERNANDO RODRIGUES DE OLIVEIRA</v>
      </c>
      <c r="E150" s="38"/>
      <c r="F150" s="38"/>
      <c r="G150" s="39"/>
      <c r="H150" s="37" t="str">
        <f>IFERROR(VLOOKUP($C150,efetivo!$A:$C,3,FALSE),"")</f>
        <v>MOTORISTA DE CAMINHÃO I</v>
      </c>
      <c r="I150" s="38"/>
      <c r="J150" s="38"/>
      <c r="K150" s="40"/>
      <c r="L150" s="13"/>
      <c r="M150" s="9"/>
    </row>
    <row r="151" spans="1:13" x14ac:dyDescent="0.2">
      <c r="A151" s="5"/>
      <c r="B151" s="10"/>
      <c r="C151" s="56">
        <f t="shared" si="2"/>
        <v>100</v>
      </c>
      <c r="D151" s="57" t="str">
        <f>IFERROR(VLOOKUP($C151,efetivo!$A:$C,2,FALSE),"")</f>
        <v xml:space="preserve">FRANCISCO PORTERO IGALZI </v>
      </c>
      <c r="E151" s="38"/>
      <c r="F151" s="38"/>
      <c r="G151" s="39"/>
      <c r="H151" s="37" t="str">
        <f>IFERROR(VLOOKUP($C151,efetivo!$A:$C,3,FALSE),"")</f>
        <v>MOTORISTA DE CAMINHÃO I</v>
      </c>
      <c r="I151" s="38"/>
      <c r="J151" s="38"/>
      <c r="K151" s="40"/>
      <c r="L151" s="13"/>
      <c r="M151" s="9"/>
    </row>
    <row r="152" spans="1:13" x14ac:dyDescent="0.2">
      <c r="A152" s="5"/>
      <c r="B152" s="10"/>
      <c r="C152" s="36">
        <f t="shared" si="2"/>
        <v>101</v>
      </c>
      <c r="D152" s="57" t="str">
        <f>IFERROR(VLOOKUP($C152,efetivo!$A:$C,2,FALSE),"")</f>
        <v>MARCIO MARTINS</v>
      </c>
      <c r="E152" s="38"/>
      <c r="F152" s="38"/>
      <c r="G152" s="39"/>
      <c r="H152" s="37" t="str">
        <f>IFERROR(VLOOKUP($C152,efetivo!$A:$C,3,FALSE),"")</f>
        <v>MOTORISTA DE CAMINHÃO I</v>
      </c>
      <c r="I152" s="38"/>
      <c r="J152" s="38"/>
      <c r="K152" s="40"/>
      <c r="L152" s="13"/>
      <c r="M152" s="9"/>
    </row>
    <row r="153" spans="1:13" x14ac:dyDescent="0.2">
      <c r="A153" s="5"/>
      <c r="B153" s="10"/>
      <c r="C153" s="56">
        <f t="shared" si="2"/>
        <v>102</v>
      </c>
      <c r="D153" s="57" t="str">
        <f>IFERROR(VLOOKUP($C153,efetivo!$A:$C,2,FALSE),"")</f>
        <v>PAULO APARECIDO STIN</v>
      </c>
      <c r="E153" s="38"/>
      <c r="F153" s="38"/>
      <c r="G153" s="39"/>
      <c r="H153" s="37" t="str">
        <f>IFERROR(VLOOKUP($C153,efetivo!$A:$C,3,FALSE),"")</f>
        <v>MOTORISTA DE CAMINHÃO I</v>
      </c>
      <c r="I153" s="38"/>
      <c r="J153" s="38"/>
      <c r="K153" s="40"/>
      <c r="L153" s="13"/>
      <c r="M153" s="9"/>
    </row>
    <row r="154" spans="1:13" x14ac:dyDescent="0.2">
      <c r="A154" s="5"/>
      <c r="B154" s="10"/>
      <c r="C154" s="36">
        <f t="shared" si="2"/>
        <v>103</v>
      </c>
      <c r="D154" s="57" t="str">
        <f>IFERROR(VLOOKUP($C154,efetivo!$A:$C,2,FALSE),"")</f>
        <v xml:space="preserve">JOSE ROBERTO DA SILVA NETO  </v>
      </c>
      <c r="E154" s="38"/>
      <c r="F154" s="38"/>
      <c r="G154" s="39"/>
      <c r="H154" s="37" t="str">
        <f>IFERROR(VLOOKUP($C154,efetivo!$A:$C,3,FALSE),"")</f>
        <v>MOTORISTA DE CAMINHAO PIPA</v>
      </c>
      <c r="I154" s="38"/>
      <c r="J154" s="38"/>
      <c r="K154" s="40"/>
      <c r="L154" s="13"/>
      <c r="M154" s="9"/>
    </row>
    <row r="155" spans="1:13" x14ac:dyDescent="0.2">
      <c r="A155" s="5"/>
      <c r="B155" s="10"/>
      <c r="C155" s="56">
        <f t="shared" si="2"/>
        <v>104</v>
      </c>
      <c r="D155" s="57" t="str">
        <f>IFERROR(VLOOKUP($C155,efetivo!$A:$C,2,FALSE),"")</f>
        <v>ELIAS GOMES LUCIO</v>
      </c>
      <c r="E155" s="38"/>
      <c r="F155" s="38"/>
      <c r="G155" s="39"/>
      <c r="H155" s="37" t="str">
        <f>IFERROR(VLOOKUP($C155,efetivo!$A:$C,3,FALSE),"")</f>
        <v>MOTORISTA ESPARGIDOR</v>
      </c>
      <c r="I155" s="38"/>
      <c r="J155" s="38"/>
      <c r="K155" s="40"/>
      <c r="L155" s="13"/>
      <c r="M155" s="9"/>
    </row>
    <row r="156" spans="1:13" x14ac:dyDescent="0.2">
      <c r="A156" s="5"/>
      <c r="B156" s="10"/>
      <c r="C156" s="36">
        <f t="shared" si="2"/>
        <v>105</v>
      </c>
      <c r="D156" s="57" t="str">
        <f>IFERROR(VLOOKUP($C156,efetivo!$A:$C,2,FALSE),"")</f>
        <v xml:space="preserve">JERFFERSON EUDES LIMA MOREIRA </v>
      </c>
      <c r="E156" s="38"/>
      <c r="F156" s="38"/>
      <c r="G156" s="39"/>
      <c r="H156" s="37" t="str">
        <f>IFERROR(VLOOKUP($C156,efetivo!$A:$C,3,FALSE),"")</f>
        <v xml:space="preserve">OP. DE MAQUINAS IV </v>
      </c>
      <c r="I156" s="38"/>
      <c r="J156" s="38"/>
      <c r="K156" s="40"/>
      <c r="L156" s="13"/>
      <c r="M156" s="9"/>
    </row>
    <row r="157" spans="1:13" x14ac:dyDescent="0.2">
      <c r="A157" s="5"/>
      <c r="B157" s="10"/>
      <c r="C157" s="56">
        <f t="shared" si="2"/>
        <v>106</v>
      </c>
      <c r="D157" s="57" t="str">
        <f>IFERROR(VLOOKUP($C157,efetivo!$A:$C,2,FALSE),"")</f>
        <v>LUCAS DA SILVA ARAUJO</v>
      </c>
      <c r="E157" s="38"/>
      <c r="F157" s="38"/>
      <c r="G157" s="39"/>
      <c r="H157" s="37" t="str">
        <f>IFERROR(VLOOKUP($C157,efetivo!$A:$C,3,FALSE),"")</f>
        <v xml:space="preserve">OP. DE MAQUINAS IV </v>
      </c>
      <c r="I157" s="38"/>
      <c r="J157" s="38"/>
      <c r="K157" s="40"/>
      <c r="L157" s="13"/>
      <c r="M157" s="9"/>
    </row>
    <row r="158" spans="1:13" x14ac:dyDescent="0.2">
      <c r="A158" s="5"/>
      <c r="B158" s="10"/>
      <c r="C158" s="36">
        <f t="shared" si="2"/>
        <v>107</v>
      </c>
      <c r="D158" s="57" t="str">
        <f>IFERROR(VLOOKUP($C158,efetivo!$A:$C,2,FALSE),"")</f>
        <v>LUIZ CARLOS DE LIVIO</v>
      </c>
      <c r="E158" s="38"/>
      <c r="F158" s="38"/>
      <c r="G158" s="39"/>
      <c r="H158" s="37" t="str">
        <f>IFERROR(VLOOKUP($C158,efetivo!$A:$C,3,FALSE),"")</f>
        <v xml:space="preserve">OP. DE MAQUINAS IV </v>
      </c>
      <c r="I158" s="38"/>
      <c r="J158" s="38"/>
      <c r="K158" s="40"/>
      <c r="L158" s="13"/>
      <c r="M158" s="9"/>
    </row>
    <row r="159" spans="1:13" x14ac:dyDescent="0.2">
      <c r="A159" s="5"/>
      <c r="B159" s="10"/>
      <c r="C159" s="56">
        <f t="shared" si="2"/>
        <v>108</v>
      </c>
      <c r="D159" s="57" t="str">
        <f>IFERROR(VLOOKUP($C159,efetivo!$A:$C,2,FALSE),"")</f>
        <v>MESSIAS JOSE DA SILVA</v>
      </c>
      <c r="E159" s="38"/>
      <c r="F159" s="38"/>
      <c r="G159" s="39"/>
      <c r="H159" s="37" t="str">
        <f>IFERROR(VLOOKUP($C159,efetivo!$A:$C,3,FALSE),"")</f>
        <v>OP. DE MOTONIVELADORA</v>
      </c>
      <c r="I159" s="38"/>
      <c r="J159" s="38"/>
      <c r="K159" s="40"/>
      <c r="L159" s="13"/>
      <c r="M159" s="9"/>
    </row>
    <row r="160" spans="1:13" x14ac:dyDescent="0.2">
      <c r="A160" s="5"/>
      <c r="B160" s="10"/>
      <c r="C160" s="36">
        <f t="shared" si="2"/>
        <v>109</v>
      </c>
      <c r="D160" s="57" t="str">
        <f>IFERROR(VLOOKUP($C160,efetivo!$A:$C,2,FALSE),"")</f>
        <v xml:space="preserve">FABIO PAULO DOS SANTOS </v>
      </c>
      <c r="E160" s="38"/>
      <c r="F160" s="38"/>
      <c r="G160" s="39"/>
      <c r="H160" s="37" t="str">
        <f>IFERROR(VLOOKUP($C160,efetivo!$A:$C,3,FALSE),"")</f>
        <v>OP.MAQUINAS PESADAS VII</v>
      </c>
      <c r="I160" s="38"/>
      <c r="J160" s="38"/>
      <c r="K160" s="40"/>
      <c r="L160" s="13"/>
      <c r="M160" s="9"/>
    </row>
    <row r="161" spans="1:13" x14ac:dyDescent="0.2">
      <c r="A161" s="5"/>
      <c r="B161" s="10"/>
      <c r="C161" s="56">
        <f t="shared" si="2"/>
        <v>110</v>
      </c>
      <c r="D161" s="57" t="str">
        <f>IFERROR(VLOOKUP($C161,efetivo!$A:$C,2,FALSE),"")</f>
        <v xml:space="preserve">JORGE ALBERONE DOS SANTOS </v>
      </c>
      <c r="E161" s="38"/>
      <c r="F161" s="38"/>
      <c r="G161" s="39"/>
      <c r="H161" s="37" t="str">
        <f>IFERROR(VLOOKUP($C161,efetivo!$A:$C,3,FALSE),"")</f>
        <v>OPERADOR DE BOMBA DE CONCRETO</v>
      </c>
      <c r="I161" s="38"/>
      <c r="J161" s="38"/>
      <c r="K161" s="40"/>
      <c r="L161" s="13"/>
      <c r="M161" s="9"/>
    </row>
    <row r="162" spans="1:13" x14ac:dyDescent="0.2">
      <c r="A162" s="5"/>
      <c r="B162" s="10"/>
      <c r="C162" s="36">
        <f t="shared" si="2"/>
        <v>111</v>
      </c>
      <c r="D162" s="57" t="str">
        <f>IFERROR(VLOOKUP($C162,efetivo!$A:$C,2,FALSE),"")</f>
        <v xml:space="preserve">WELITON CLARETT LUCIO </v>
      </c>
      <c r="E162" s="38"/>
      <c r="F162" s="38"/>
      <c r="G162" s="39"/>
      <c r="H162" s="37" t="str">
        <f>IFERROR(VLOOKUP($C162,efetivo!$A:$C,3,FALSE),"")</f>
        <v>OPERADOR DE BOMBA DE CONCRETO</v>
      </c>
      <c r="I162" s="38"/>
      <c r="J162" s="38"/>
      <c r="K162" s="40"/>
      <c r="L162" s="13"/>
      <c r="M162" s="9"/>
    </row>
    <row r="163" spans="1:13" x14ac:dyDescent="0.2">
      <c r="A163" s="5"/>
      <c r="B163" s="10"/>
      <c r="C163" s="56">
        <f t="shared" si="2"/>
        <v>112</v>
      </c>
      <c r="D163" s="57" t="str">
        <f>IFERROR(VLOOKUP($C163,efetivo!$A:$C,2,FALSE),"")</f>
        <v>CLEVERTON BARBOSA DOS SANTOS</v>
      </c>
      <c r="E163" s="38"/>
      <c r="F163" s="38"/>
      <c r="G163" s="39"/>
      <c r="H163" s="37" t="str">
        <f>IFERROR(VLOOKUP($C163,efetivo!$A:$C,3,FALSE),"")</f>
        <v>OPERADOR DE BRITAGEM</v>
      </c>
      <c r="I163" s="38"/>
      <c r="J163" s="38"/>
      <c r="K163" s="40"/>
      <c r="L163" s="13"/>
      <c r="M163" s="9"/>
    </row>
    <row r="164" spans="1:13" x14ac:dyDescent="0.2">
      <c r="A164" s="5"/>
      <c r="B164" s="10"/>
      <c r="C164" s="36">
        <f t="shared" si="2"/>
        <v>113</v>
      </c>
      <c r="D164" s="57" t="str">
        <f>IFERROR(VLOOKUP($C164,efetivo!$A:$C,2,FALSE),"")</f>
        <v>JOAO PESSOA DE ALMEIDA</v>
      </c>
      <c r="E164" s="38"/>
      <c r="F164" s="38"/>
      <c r="G164" s="39"/>
      <c r="H164" s="37" t="str">
        <f>IFERROR(VLOOKUP($C164,efetivo!$A:$C,3,FALSE),"")</f>
        <v>OPERADOR DE BRITAGEM II</v>
      </c>
      <c r="I164" s="38"/>
      <c r="J164" s="38"/>
      <c r="K164" s="40"/>
      <c r="L164" s="13"/>
      <c r="M164" s="9"/>
    </row>
    <row r="165" spans="1:13" x14ac:dyDescent="0.2">
      <c r="A165" s="5"/>
      <c r="B165" s="10"/>
      <c r="C165" s="56">
        <f t="shared" si="2"/>
        <v>114</v>
      </c>
      <c r="D165" s="57" t="str">
        <f>IFERROR(VLOOKUP($C165,efetivo!$A:$C,2,FALSE),"")</f>
        <v>ROBISLEI RIBEIRO CARVALHO</v>
      </c>
      <c r="E165" s="38"/>
      <c r="F165" s="38"/>
      <c r="G165" s="39"/>
      <c r="H165" s="37" t="str">
        <f>IFERROR(VLOOKUP($C165,efetivo!$A:$C,3,FALSE),"")</f>
        <v xml:space="preserve">OPERADOR DE ESCAVADEIRA </v>
      </c>
      <c r="I165" s="38"/>
      <c r="J165" s="38"/>
      <c r="K165" s="40"/>
      <c r="L165" s="13"/>
      <c r="M165" s="9"/>
    </row>
    <row r="166" spans="1:13" x14ac:dyDescent="0.2">
      <c r="A166" s="5"/>
      <c r="B166" s="10"/>
      <c r="C166" s="36">
        <f t="shared" si="2"/>
        <v>115</v>
      </c>
      <c r="D166" s="57" t="str">
        <f>IFERROR(VLOOKUP($C166,efetivo!$A:$C,2,FALSE),"")</f>
        <v xml:space="preserve">RITHER DA SILVA BERNARDES  </v>
      </c>
      <c r="E166" s="38"/>
      <c r="F166" s="38"/>
      <c r="G166" s="39"/>
      <c r="H166" s="37" t="str">
        <f>IFERROR(VLOOKUP($C166,efetivo!$A:$C,3,FALSE),"")</f>
        <v xml:space="preserve">OPERADOR DE ESPARGIDOR </v>
      </c>
      <c r="I166" s="38"/>
      <c r="J166" s="38"/>
      <c r="K166" s="40"/>
      <c r="L166" s="13"/>
      <c r="M166" s="9"/>
    </row>
    <row r="167" spans="1:13" x14ac:dyDescent="0.2">
      <c r="A167" s="5"/>
      <c r="B167" s="10"/>
      <c r="C167" s="56">
        <f t="shared" si="2"/>
        <v>116</v>
      </c>
      <c r="D167" s="57" t="str">
        <f>IFERROR(VLOOKUP($C167,efetivo!$A:$C,2,FALSE),"")</f>
        <v>EURIDES COQUEIRO DA COSTA</v>
      </c>
      <c r="E167" s="38"/>
      <c r="F167" s="38"/>
      <c r="G167" s="39"/>
      <c r="H167" s="37" t="str">
        <f>IFERROR(VLOOKUP($C167,efetivo!$A:$C,3,FALSE),"")</f>
        <v>OPERADOR DE MAQUINAS</v>
      </c>
      <c r="I167" s="38"/>
      <c r="J167" s="38"/>
      <c r="K167" s="40"/>
      <c r="L167" s="13"/>
      <c r="M167" s="9"/>
    </row>
    <row r="168" spans="1:13" x14ac:dyDescent="0.2">
      <c r="A168" s="5"/>
      <c r="B168" s="10"/>
      <c r="C168" s="36">
        <f t="shared" si="2"/>
        <v>117</v>
      </c>
      <c r="D168" s="57" t="str">
        <f>IFERROR(VLOOKUP($C168,efetivo!$A:$C,2,FALSE),"")</f>
        <v>JOSE HELIO DE SANTANA</v>
      </c>
      <c r="E168" s="38"/>
      <c r="F168" s="38"/>
      <c r="G168" s="39"/>
      <c r="H168" s="37" t="str">
        <f>IFERROR(VLOOKUP($C168,efetivo!$A:$C,3,FALSE),"")</f>
        <v>OPERADOR DE MAQUINAS</v>
      </c>
      <c r="I168" s="38"/>
      <c r="J168" s="38"/>
      <c r="K168" s="40"/>
      <c r="L168" s="13"/>
      <c r="M168" s="9"/>
    </row>
    <row r="169" spans="1:13" x14ac:dyDescent="0.2">
      <c r="A169" s="5"/>
      <c r="B169" s="10"/>
      <c r="C169" s="56">
        <f t="shared" si="2"/>
        <v>118</v>
      </c>
      <c r="D169" s="57" t="str">
        <f>IFERROR(VLOOKUP($C169,efetivo!$A:$C,2,FALSE),"")</f>
        <v>GILMAR RIBEIRO</v>
      </c>
      <c r="E169" s="38"/>
      <c r="F169" s="38"/>
      <c r="G169" s="39"/>
      <c r="H169" s="37" t="str">
        <f>IFERROR(VLOOKUP($C169,efetivo!$A:$C,3,FALSE),"")</f>
        <v>OPERADOR DE MAQUINAS II</v>
      </c>
      <c r="I169" s="38"/>
      <c r="J169" s="38"/>
      <c r="K169" s="40"/>
      <c r="L169" s="13"/>
      <c r="M169" s="9"/>
    </row>
    <row r="170" spans="1:13" x14ac:dyDescent="0.2">
      <c r="A170" s="5"/>
      <c r="B170" s="10"/>
      <c r="C170" s="36">
        <f t="shared" si="2"/>
        <v>119</v>
      </c>
      <c r="D170" s="57" t="str">
        <f>IFERROR(VLOOKUP($C170,efetivo!$A:$C,2,FALSE),"")</f>
        <v>SEBASTIAO DE ANDRADE</v>
      </c>
      <c r="E170" s="38"/>
      <c r="F170" s="38"/>
      <c r="G170" s="39"/>
      <c r="H170" s="37" t="str">
        <f>IFERROR(VLOOKUP($C170,efetivo!$A:$C,3,FALSE),"")</f>
        <v>OPERADOR DE MAQUINAS II</v>
      </c>
      <c r="I170" s="38"/>
      <c r="J170" s="38"/>
      <c r="K170" s="40"/>
      <c r="L170" s="13"/>
      <c r="M170" s="9"/>
    </row>
    <row r="171" spans="1:13" x14ac:dyDescent="0.2">
      <c r="A171" s="5"/>
      <c r="B171" s="10"/>
      <c r="C171" s="56">
        <f t="shared" si="2"/>
        <v>120</v>
      </c>
      <c r="D171" s="57" t="str">
        <f>IFERROR(VLOOKUP($C171,efetivo!$A:$C,2,FALSE),"")</f>
        <v xml:space="preserve"> CICERO LOPES              </v>
      </c>
      <c r="E171" s="38"/>
      <c r="F171" s="38"/>
      <c r="G171" s="39"/>
      <c r="H171" s="37" t="str">
        <f>IFERROR(VLOOKUP($C171,efetivo!$A:$C,3,FALSE),"")</f>
        <v>OPERADOR DE MAQUINAS II</v>
      </c>
      <c r="I171" s="38"/>
      <c r="J171" s="38"/>
      <c r="K171" s="40"/>
      <c r="L171" s="13"/>
      <c r="M171" s="9"/>
    </row>
    <row r="172" spans="1:13" x14ac:dyDescent="0.2">
      <c r="A172" s="5"/>
      <c r="B172" s="10"/>
      <c r="C172" s="36">
        <f t="shared" si="2"/>
        <v>121</v>
      </c>
      <c r="D172" s="57" t="str">
        <f>IFERROR(VLOOKUP($C172,efetivo!$A:$C,2,FALSE),"")</f>
        <v>CARLOS APARECIDO DE MELO NASCIMENTO</v>
      </c>
      <c r="E172" s="38"/>
      <c r="F172" s="38"/>
      <c r="G172" s="39"/>
      <c r="H172" s="37" t="str">
        <f>IFERROR(VLOOKUP($C172,efetivo!$A:$C,3,FALSE),"")</f>
        <v>OPERADOR DE MAQUINAS V</v>
      </c>
      <c r="I172" s="38"/>
      <c r="J172" s="38"/>
      <c r="K172" s="40"/>
      <c r="L172" s="13"/>
      <c r="M172" s="9"/>
    </row>
    <row r="173" spans="1:13" x14ac:dyDescent="0.2">
      <c r="A173" s="5"/>
      <c r="B173" s="10"/>
      <c r="C173" s="56">
        <f t="shared" si="2"/>
        <v>122</v>
      </c>
      <c r="D173" s="57" t="str">
        <f>IFERROR(VLOOKUP($C173,efetivo!$A:$C,2,FALSE),"")</f>
        <v>HAMILTON FRANCISCO DA COSTA</v>
      </c>
      <c r="E173" s="38"/>
      <c r="F173" s="38"/>
      <c r="G173" s="39"/>
      <c r="H173" s="37" t="str">
        <f>IFERROR(VLOOKUP($C173,efetivo!$A:$C,3,FALSE),"")</f>
        <v>OPERADOR DE MÁQUINAS I (ROLO)</v>
      </c>
      <c r="I173" s="38"/>
      <c r="J173" s="38"/>
      <c r="K173" s="40"/>
      <c r="L173" s="13"/>
      <c r="M173" s="9"/>
    </row>
    <row r="174" spans="1:13" x14ac:dyDescent="0.2">
      <c r="A174" s="5"/>
      <c r="B174" s="10"/>
      <c r="C174" s="36">
        <f t="shared" si="2"/>
        <v>123</v>
      </c>
      <c r="D174" s="57" t="str">
        <f>IFERROR(VLOOKUP($C174,efetivo!$A:$C,2,FALSE),"")</f>
        <v xml:space="preserve">BRUNO ENRIQUE MEIRA </v>
      </c>
      <c r="E174" s="38"/>
      <c r="F174" s="38"/>
      <c r="G174" s="39"/>
      <c r="H174" s="37" t="str">
        <f>IFERROR(VLOOKUP($C174,efetivo!$A:$C,3,FALSE),"")</f>
        <v>OPERADOR DE MÁQUINAS I (ROLO)</v>
      </c>
      <c r="I174" s="38"/>
      <c r="J174" s="38"/>
      <c r="K174" s="40"/>
      <c r="L174" s="13"/>
      <c r="M174" s="9"/>
    </row>
    <row r="175" spans="1:13" x14ac:dyDescent="0.2">
      <c r="A175" s="5"/>
      <c r="B175" s="10"/>
      <c r="C175" s="56">
        <f t="shared" si="2"/>
        <v>124</v>
      </c>
      <c r="D175" s="57" t="str">
        <f>IFERROR(VLOOKUP($C175,efetivo!$A:$C,2,FALSE),"")</f>
        <v>MAURO SERGIO APARECIDO DA SILVA</v>
      </c>
      <c r="E175" s="38"/>
      <c r="F175" s="38"/>
      <c r="G175" s="39"/>
      <c r="H175" s="37" t="str">
        <f>IFERROR(VLOOKUP($C175,efetivo!$A:$C,3,FALSE),"")</f>
        <v>OPERADOR DE MÁQUINAS I (ROLO)</v>
      </c>
      <c r="I175" s="38"/>
      <c r="J175" s="38"/>
      <c r="K175" s="40"/>
      <c r="L175" s="13"/>
      <c r="M175" s="9"/>
    </row>
    <row r="176" spans="1:13" x14ac:dyDescent="0.2">
      <c r="A176" s="5"/>
      <c r="B176" s="10"/>
      <c r="C176" s="36">
        <f t="shared" si="2"/>
        <v>125</v>
      </c>
      <c r="D176" s="57" t="str">
        <f>IFERROR(VLOOKUP($C176,efetivo!$A:$C,2,FALSE),"")</f>
        <v>CLAUDEIR BREGUES DOS SANTOS</v>
      </c>
      <c r="E176" s="38"/>
      <c r="F176" s="38"/>
      <c r="G176" s="39"/>
      <c r="H176" s="37" t="str">
        <f>IFERROR(VLOOKUP($C176,efetivo!$A:$C,3,FALSE),"")</f>
        <v>OPERADOR DE MÁQUINAS PESADAS IV</v>
      </c>
      <c r="I176" s="38"/>
      <c r="J176" s="38"/>
      <c r="K176" s="40"/>
      <c r="L176" s="13"/>
      <c r="M176" s="9"/>
    </row>
    <row r="177" spans="1:13" x14ac:dyDescent="0.2">
      <c r="A177" s="5"/>
      <c r="B177" s="10"/>
      <c r="C177" s="56">
        <f t="shared" si="2"/>
        <v>126</v>
      </c>
      <c r="D177" s="57" t="str">
        <f>IFERROR(VLOOKUP($C177,efetivo!$A:$C,2,FALSE),"")</f>
        <v>EDILSON MESSIAS DA CRUZ</v>
      </c>
      <c r="E177" s="38"/>
      <c r="F177" s="38"/>
      <c r="G177" s="39"/>
      <c r="H177" s="37" t="str">
        <f>IFERROR(VLOOKUP($C177,efetivo!$A:$C,3,FALSE),"")</f>
        <v>OPERADOR DE MÁQUINAS PESADAS IV</v>
      </c>
      <c r="I177" s="38"/>
      <c r="J177" s="38"/>
      <c r="K177" s="40"/>
      <c r="L177" s="13"/>
      <c r="M177" s="9"/>
    </row>
    <row r="178" spans="1:13" x14ac:dyDescent="0.2">
      <c r="A178" s="5"/>
      <c r="B178" s="10"/>
      <c r="C178" s="36">
        <f t="shared" si="2"/>
        <v>127</v>
      </c>
      <c r="D178" s="57" t="str">
        <f>IFERROR(VLOOKUP($C178,efetivo!$A:$C,2,FALSE),"")</f>
        <v>GILMAR PAES DOS SANTOS</v>
      </c>
      <c r="E178" s="38"/>
      <c r="F178" s="38"/>
      <c r="G178" s="39"/>
      <c r="H178" s="37" t="str">
        <f>IFERROR(VLOOKUP($C178,efetivo!$A:$C,3,FALSE),"")</f>
        <v>PEDREIRO</v>
      </c>
      <c r="I178" s="38"/>
      <c r="J178" s="38"/>
      <c r="K178" s="40"/>
      <c r="L178" s="13"/>
      <c r="M178" s="9"/>
    </row>
    <row r="179" spans="1:13" x14ac:dyDescent="0.2">
      <c r="A179" s="5"/>
      <c r="B179" s="10"/>
      <c r="C179" s="56">
        <f t="shared" si="2"/>
        <v>128</v>
      </c>
      <c r="D179" s="57" t="str">
        <f>IFERROR(VLOOKUP($C179,efetivo!$A:$C,2,FALSE),"")</f>
        <v>JOSE CARLOS MEDEIROS DA SILVA</v>
      </c>
      <c r="E179" s="38"/>
      <c r="F179" s="38"/>
      <c r="G179" s="39"/>
      <c r="H179" s="37" t="str">
        <f>IFERROR(VLOOKUP($C179,efetivo!$A:$C,3,FALSE),"")</f>
        <v>PEDREIRO</v>
      </c>
      <c r="I179" s="38"/>
      <c r="J179" s="38"/>
      <c r="K179" s="40"/>
      <c r="L179" s="13"/>
      <c r="M179" s="9"/>
    </row>
    <row r="180" spans="1:13" ht="13.5" thickBot="1" x14ac:dyDescent="0.25">
      <c r="A180" s="5"/>
      <c r="B180" s="10"/>
      <c r="C180" s="58"/>
      <c r="D180" s="25" t="str">
        <f>IFERROR(VLOOKUP($C180,efetivo!$A:$C,2,FALSE),"")</f>
        <v/>
      </c>
      <c r="E180" s="25"/>
      <c r="F180" s="25"/>
      <c r="G180" s="44"/>
      <c r="H180" s="45" t="str">
        <f>IFERROR(VLOOKUP($C180,efetivo!$A:$C,3,FALSE),"")</f>
        <v/>
      </c>
      <c r="I180" s="25"/>
      <c r="J180" s="46"/>
      <c r="K180" s="47"/>
      <c r="L180" s="13"/>
      <c r="M180" s="9"/>
    </row>
    <row r="181" spans="1:13" ht="13.5" thickBot="1" x14ac:dyDescent="0.25">
      <c r="A181" s="5"/>
      <c r="B181" s="48"/>
      <c r="C181" s="49"/>
      <c r="D181" s="49"/>
      <c r="E181" s="49"/>
      <c r="F181" s="49"/>
      <c r="G181" s="49"/>
      <c r="H181" s="49"/>
      <c r="I181" s="49"/>
      <c r="J181" s="49"/>
      <c r="K181" s="49"/>
      <c r="L181" s="50"/>
      <c r="M181" s="9"/>
    </row>
    <row r="182" spans="1:13" ht="13.5" thickBot="1" x14ac:dyDescent="0.25">
      <c r="A182" s="51"/>
      <c r="B182" s="52"/>
      <c r="C182" s="52"/>
      <c r="D182" s="52"/>
      <c r="E182" s="52"/>
      <c r="F182" s="52"/>
      <c r="G182" s="52"/>
      <c r="H182" s="52"/>
      <c r="I182" s="52"/>
      <c r="J182" s="52"/>
      <c r="K182" s="258"/>
      <c r="L182" s="258"/>
      <c r="M182" s="259"/>
    </row>
    <row r="185" spans="1:13" ht="13.5" thickBot="1" x14ac:dyDescent="0.25"/>
    <row r="186" spans="1:13" ht="13.5" thickBot="1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3"/>
    </row>
    <row r="187" spans="1:13" ht="13.5" thickBot="1" x14ac:dyDescent="0.25">
      <c r="A187" s="5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8"/>
      <c r="M187" s="9"/>
    </row>
    <row r="188" spans="1:13" ht="15.75" x14ac:dyDescent="0.2">
      <c r="A188" s="5"/>
      <c r="B188" s="10"/>
      <c r="C188" s="6"/>
      <c r="D188" s="240" t="s">
        <v>0</v>
      </c>
      <c r="E188" s="241"/>
      <c r="F188" s="241"/>
      <c r="G188" s="241"/>
      <c r="H188" s="241"/>
      <c r="I188" s="241"/>
      <c r="J188" s="242"/>
      <c r="K188" s="12"/>
      <c r="L188" s="13"/>
      <c r="M188" s="9"/>
    </row>
    <row r="189" spans="1:13" ht="15.75" x14ac:dyDescent="0.2">
      <c r="A189" s="5"/>
      <c r="B189" s="10"/>
      <c r="C189" s="10"/>
      <c r="D189" s="243"/>
      <c r="E189" s="244"/>
      <c r="F189" s="244"/>
      <c r="G189" s="244"/>
      <c r="H189" s="244"/>
      <c r="I189" s="244"/>
      <c r="J189" s="245"/>
      <c r="K189" s="15"/>
      <c r="L189" s="13"/>
      <c r="M189" s="9"/>
    </row>
    <row r="190" spans="1:13" ht="15.75" x14ac:dyDescent="0.2">
      <c r="A190" s="5"/>
      <c r="B190" s="10"/>
      <c r="C190" s="10"/>
      <c r="D190" s="243"/>
      <c r="E190" s="244"/>
      <c r="F190" s="244"/>
      <c r="G190" s="244"/>
      <c r="H190" s="244"/>
      <c r="I190" s="244"/>
      <c r="J190" s="245"/>
      <c r="K190" s="15"/>
      <c r="L190" s="13"/>
      <c r="M190" s="9"/>
    </row>
    <row r="191" spans="1:13" ht="16.5" thickBot="1" x14ac:dyDescent="0.25">
      <c r="A191" s="5"/>
      <c r="B191" s="10"/>
      <c r="C191" s="16"/>
      <c r="D191" s="246"/>
      <c r="E191" s="247"/>
      <c r="F191" s="247"/>
      <c r="G191" s="247"/>
      <c r="H191" s="247"/>
      <c r="I191" s="247"/>
      <c r="J191" s="248"/>
      <c r="K191" s="17"/>
      <c r="L191" s="13"/>
      <c r="M191" s="9"/>
    </row>
    <row r="192" spans="1:13" ht="18.75" thickBot="1" x14ac:dyDescent="0.25">
      <c r="A192" s="5"/>
      <c r="B192" s="10"/>
      <c r="C192" s="11"/>
      <c r="E192" s="11"/>
      <c r="F192" s="11"/>
      <c r="G192" s="11"/>
      <c r="H192" s="11"/>
      <c r="I192" s="11"/>
      <c r="J192" s="18"/>
      <c r="K192" s="18"/>
      <c r="L192" s="13"/>
      <c r="M192" s="9"/>
    </row>
    <row r="193" spans="1:13" x14ac:dyDescent="0.2">
      <c r="A193" s="5"/>
      <c r="B193" s="10"/>
      <c r="C193" s="6" t="s">
        <v>1</v>
      </c>
      <c r="D193" s="7" t="s">
        <v>2</v>
      </c>
      <c r="E193" s="7"/>
      <c r="F193" s="7"/>
      <c r="G193" s="7"/>
      <c r="H193" s="7"/>
      <c r="I193" s="7"/>
      <c r="J193" s="19" t="s">
        <v>3</v>
      </c>
      <c r="K193" s="20" t="s">
        <v>4</v>
      </c>
      <c r="L193" s="13"/>
      <c r="M193" s="9"/>
    </row>
    <row r="194" spans="1:13" x14ac:dyDescent="0.2">
      <c r="A194" s="5"/>
      <c r="B194" s="10"/>
      <c r="C194" s="10" t="s">
        <v>5</v>
      </c>
      <c r="D194" s="4" t="s">
        <v>6</v>
      </c>
      <c r="I194" s="21"/>
      <c r="J194" s="22" t="s">
        <v>7</v>
      </c>
      <c r="K194" s="23">
        <v>13</v>
      </c>
      <c r="L194" s="13"/>
      <c r="M194" s="9"/>
    </row>
    <row r="195" spans="1:13" ht="33.6" customHeight="1" thickBot="1" x14ac:dyDescent="0.25">
      <c r="A195" s="5"/>
      <c r="B195" s="10"/>
      <c r="C195" s="24" t="s">
        <v>8</v>
      </c>
      <c r="D195" s="249" t="s">
        <v>9</v>
      </c>
      <c r="E195" s="249"/>
      <c r="F195" s="249"/>
      <c r="G195" s="249"/>
      <c r="H195" s="249"/>
      <c r="I195" s="25"/>
      <c r="J195" s="26" t="s">
        <v>10</v>
      </c>
      <c r="K195" s="27">
        <v>46235</v>
      </c>
      <c r="L195" s="13"/>
      <c r="M195" s="9"/>
    </row>
    <row r="196" spans="1:13" ht="9.6" customHeight="1" thickBot="1" x14ac:dyDescent="0.25">
      <c r="A196" s="5"/>
      <c r="B196" s="10"/>
      <c r="C196" s="7"/>
      <c r="K196" s="7"/>
      <c r="L196" s="13"/>
      <c r="M196" s="9"/>
    </row>
    <row r="197" spans="1:13" x14ac:dyDescent="0.2">
      <c r="A197" s="5"/>
      <c r="B197" s="10"/>
      <c r="C197" s="250" t="s">
        <v>11</v>
      </c>
      <c r="D197" s="252" t="s">
        <v>12</v>
      </c>
      <c r="E197" s="253"/>
      <c r="F197" s="253"/>
      <c r="G197" s="254"/>
      <c r="H197" s="252" t="s">
        <v>13</v>
      </c>
      <c r="I197" s="253"/>
      <c r="J197" s="253"/>
      <c r="K197" s="254"/>
      <c r="L197" s="13"/>
      <c r="M197" s="9"/>
    </row>
    <row r="198" spans="1:13" ht="13.5" thickBot="1" x14ac:dyDescent="0.25">
      <c r="A198" s="5"/>
      <c r="B198" s="10"/>
      <c r="C198" s="251"/>
      <c r="D198" s="255"/>
      <c r="E198" s="256"/>
      <c r="F198" s="256"/>
      <c r="G198" s="257"/>
      <c r="H198" s="255"/>
      <c r="I198" s="256"/>
      <c r="J198" s="256"/>
      <c r="K198" s="257"/>
      <c r="L198" s="13"/>
      <c r="M198" s="9"/>
    </row>
    <row r="199" spans="1:13" x14ac:dyDescent="0.2">
      <c r="A199" s="5"/>
      <c r="B199" s="10"/>
      <c r="C199" s="54">
        <f>C179+1</f>
        <v>129</v>
      </c>
      <c r="D199" s="55" t="str">
        <f>IFERROR(VLOOKUP($C199,efetivo!$A:$C,2,FALSE),"")</f>
        <v>VAGNER TEIXEIRA</v>
      </c>
      <c r="E199" s="30"/>
      <c r="F199" s="30"/>
      <c r="G199" s="31"/>
      <c r="H199" s="32" t="str">
        <f>IFERROR(VLOOKUP($C199,efetivo!$A:$C,3,FALSE),"")</f>
        <v>PEDREIRO</v>
      </c>
      <c r="I199" s="33"/>
      <c r="J199" s="7"/>
      <c r="K199" s="8"/>
      <c r="L199" s="13"/>
      <c r="M199" s="9"/>
    </row>
    <row r="200" spans="1:13" x14ac:dyDescent="0.2">
      <c r="A200" s="5"/>
      <c r="B200" s="10"/>
      <c r="C200" s="56">
        <f t="shared" ref="C200:C207" si="3">C199+1</f>
        <v>130</v>
      </c>
      <c r="D200" s="57" t="str">
        <f>IFERROR(VLOOKUP($C200,efetivo!$A:$C,2,FALSE),"")</f>
        <v xml:space="preserve">VALTER SIDINEI CASSIANO </v>
      </c>
      <c r="E200" s="38"/>
      <c r="F200" s="38"/>
      <c r="G200" s="39"/>
      <c r="H200" s="37" t="str">
        <f>IFERROR(VLOOKUP($C200,efetivo!$A:$C,3,FALSE),"")</f>
        <v>PEDREIRO</v>
      </c>
      <c r="I200" s="38"/>
      <c r="J200" s="38"/>
      <c r="K200" s="40"/>
      <c r="L200" s="13"/>
      <c r="M200" s="9"/>
    </row>
    <row r="201" spans="1:13" x14ac:dyDescent="0.2">
      <c r="A201" s="5"/>
      <c r="B201" s="10"/>
      <c r="C201" s="36">
        <f t="shared" si="3"/>
        <v>131</v>
      </c>
      <c r="D201" s="57" t="str">
        <f>IFERROR(VLOOKUP($C201,efetivo!$A:$C,2,FALSE),"")</f>
        <v>JOAO APARECIDO DA SILVA</v>
      </c>
      <c r="E201" s="38"/>
      <c r="F201" s="38"/>
      <c r="G201" s="39"/>
      <c r="H201" s="37" t="str">
        <f>IFERROR(VLOOKUP($C201,efetivo!$A:$C,3,FALSE),"")</f>
        <v>PEDREIRO</v>
      </c>
      <c r="I201" s="38"/>
      <c r="J201" s="38"/>
      <c r="K201" s="40"/>
      <c r="L201" s="13"/>
      <c r="M201" s="9"/>
    </row>
    <row r="202" spans="1:13" x14ac:dyDescent="0.2">
      <c r="A202" s="5"/>
      <c r="B202" s="10"/>
      <c r="C202" s="56">
        <f t="shared" si="3"/>
        <v>132</v>
      </c>
      <c r="D202" s="57" t="str">
        <f>IFERROR(VLOOKUP($C202,efetivo!$A:$C,2,FALSE),"")</f>
        <v xml:space="preserve">MARCELO BATISTA DA SILVA </v>
      </c>
      <c r="E202" s="38"/>
      <c r="F202" s="38"/>
      <c r="G202" s="39"/>
      <c r="H202" s="37" t="str">
        <f>IFERROR(VLOOKUP($C202,efetivo!$A:$C,3,FALSE),"")</f>
        <v>PEDREIRO</v>
      </c>
      <c r="I202" s="38"/>
      <c r="J202" s="38"/>
      <c r="K202" s="40"/>
      <c r="L202" s="13"/>
      <c r="M202" s="9"/>
    </row>
    <row r="203" spans="1:13" x14ac:dyDescent="0.2">
      <c r="A203" s="5"/>
      <c r="B203" s="10"/>
      <c r="C203" s="36">
        <f t="shared" si="3"/>
        <v>133</v>
      </c>
      <c r="D203" s="57" t="str">
        <f>IFERROR(VLOOKUP($C203,efetivo!$A:$C,2,FALSE),"")</f>
        <v xml:space="preserve"> MARCELO GOMES DE OLIVEIRA         </v>
      </c>
      <c r="E203" s="38"/>
      <c r="F203" s="38"/>
      <c r="G203" s="39"/>
      <c r="H203" s="37" t="str">
        <f>IFERROR(VLOOKUP($C203,efetivo!$A:$C,3,FALSE),"")</f>
        <v>PEDREIRO</v>
      </c>
      <c r="I203" s="38"/>
      <c r="J203" s="38"/>
      <c r="K203" s="40"/>
      <c r="L203" s="13"/>
      <c r="M203" s="9"/>
    </row>
    <row r="204" spans="1:13" x14ac:dyDescent="0.2">
      <c r="A204" s="5"/>
      <c r="B204" s="10"/>
      <c r="C204" s="56">
        <f t="shared" si="3"/>
        <v>134</v>
      </c>
      <c r="D204" s="57" t="str">
        <f>IFERROR(VLOOKUP($C204,efetivo!$A:$C,2,FALSE),"")</f>
        <v xml:space="preserve">ANDRE VAREA ROSA             </v>
      </c>
      <c r="E204" s="38"/>
      <c r="F204" s="38"/>
      <c r="G204" s="39"/>
      <c r="H204" s="37" t="str">
        <f>IFERROR(VLOOKUP($C204,efetivo!$A:$C,3,FALSE),"")</f>
        <v>PEDREIRO</v>
      </c>
      <c r="I204" s="38"/>
      <c r="J204" s="38"/>
      <c r="K204" s="40"/>
      <c r="L204" s="13"/>
      <c r="M204" s="9"/>
    </row>
    <row r="205" spans="1:13" x14ac:dyDescent="0.2">
      <c r="A205" s="5"/>
      <c r="B205" s="10"/>
      <c r="C205" s="36">
        <f t="shared" si="3"/>
        <v>135</v>
      </c>
      <c r="D205" s="57" t="str">
        <f>IFERROR(VLOOKUP($C205,efetivo!$A:$C,2,FALSE),"")</f>
        <v>MARCOS FRANCISCO EBURNIO</v>
      </c>
      <c r="E205" s="38"/>
      <c r="F205" s="38"/>
      <c r="G205" s="39"/>
      <c r="H205" s="37" t="str">
        <f>IFERROR(VLOOKUP($C205,efetivo!$A:$C,3,FALSE),"")</f>
        <v>RASTELEIRO III</v>
      </c>
      <c r="I205" s="38"/>
      <c r="J205" s="38"/>
      <c r="K205" s="40"/>
      <c r="L205" s="13"/>
      <c r="M205" s="9"/>
    </row>
    <row r="206" spans="1:13" x14ac:dyDescent="0.2">
      <c r="A206" s="5"/>
      <c r="B206" s="10"/>
      <c r="C206" s="56">
        <f t="shared" si="3"/>
        <v>136</v>
      </c>
      <c r="D206" s="57" t="str">
        <f>IFERROR(VLOOKUP($C206,efetivo!$A:$C,2,FALSE),"")</f>
        <v>ROGERIO DE PAULA</v>
      </c>
      <c r="E206" s="38"/>
      <c r="F206" s="38"/>
      <c r="G206" s="39"/>
      <c r="H206" s="37" t="str">
        <f>IFERROR(VLOOKUP($C206,efetivo!$A:$C,3,FALSE),"")</f>
        <v>RASTELEIRO III</v>
      </c>
      <c r="I206" s="38"/>
      <c r="J206" s="38"/>
      <c r="K206" s="40"/>
      <c r="L206" s="13"/>
      <c r="M206" s="9"/>
    </row>
    <row r="207" spans="1:13" x14ac:dyDescent="0.2">
      <c r="A207" s="5"/>
      <c r="B207" s="10"/>
      <c r="C207" s="36">
        <f t="shared" si="3"/>
        <v>137</v>
      </c>
      <c r="D207" s="57" t="str">
        <f>IFERROR(VLOOKUP($C207,efetivo!$A:$C,2,FALSE),"")</f>
        <v>WANDERSON VIEIRA DA SILVA</v>
      </c>
      <c r="E207" s="38"/>
      <c r="F207" s="38"/>
      <c r="G207" s="39"/>
      <c r="H207" s="37" t="str">
        <f>IFERROR(VLOOKUP($C207,efetivo!$A:$C,3,FALSE),"")</f>
        <v>RASTELEIRO III</v>
      </c>
      <c r="I207" s="38"/>
      <c r="J207" s="38"/>
      <c r="K207" s="40"/>
      <c r="L207" s="13"/>
      <c r="M207" s="9"/>
    </row>
    <row r="208" spans="1:13" x14ac:dyDescent="0.2">
      <c r="A208" s="5"/>
      <c r="B208" s="10"/>
      <c r="C208" s="56"/>
      <c r="D208" s="57" t="str">
        <f>IFERROR(VLOOKUP($C208,efetivo!$A:$C,2,FALSE),"")</f>
        <v/>
      </c>
      <c r="E208" s="38"/>
      <c r="F208" s="38"/>
      <c r="G208" s="39"/>
      <c r="H208" s="37" t="str">
        <f>IFERROR(VLOOKUP($C208,efetivo!$A:$C,3,FALSE),"")</f>
        <v/>
      </c>
      <c r="I208" s="38"/>
      <c r="J208" s="38"/>
      <c r="K208" s="40"/>
      <c r="L208" s="13"/>
      <c r="M208" s="9"/>
    </row>
    <row r="209" spans="1:13" x14ac:dyDescent="0.2">
      <c r="A209" s="5"/>
      <c r="B209" s="10"/>
      <c r="C209" s="36"/>
      <c r="D209" s="57" t="str">
        <f>IFERROR(VLOOKUP($C209,efetivo!$A:$C,2,FALSE),"")</f>
        <v/>
      </c>
      <c r="E209" s="38"/>
      <c r="F209" s="38"/>
      <c r="G209" s="39"/>
      <c r="H209" s="37" t="str">
        <f>IFERROR(VLOOKUP($C209,efetivo!$A:$C,3,FALSE),"")</f>
        <v/>
      </c>
      <c r="I209" s="38"/>
      <c r="J209" s="38"/>
      <c r="K209" s="40"/>
      <c r="L209" s="13"/>
      <c r="M209" s="9"/>
    </row>
    <row r="210" spans="1:13" x14ac:dyDescent="0.2">
      <c r="A210" s="5"/>
      <c r="B210" s="10"/>
      <c r="C210" s="56"/>
      <c r="D210" s="57" t="str">
        <f>IFERROR(VLOOKUP($C210,efetivo!$A:$C,2,FALSE),"")</f>
        <v/>
      </c>
      <c r="E210" s="38"/>
      <c r="F210" s="38"/>
      <c r="G210" s="39"/>
      <c r="H210" s="37" t="str">
        <f>IFERROR(VLOOKUP($C210,efetivo!$A:$C,3,FALSE),"")</f>
        <v/>
      </c>
      <c r="I210" s="38"/>
      <c r="J210" s="38"/>
      <c r="K210" s="40"/>
      <c r="L210" s="13"/>
      <c r="M210" s="9"/>
    </row>
    <row r="211" spans="1:13" x14ac:dyDescent="0.2">
      <c r="A211" s="5"/>
      <c r="B211" s="10"/>
      <c r="C211" s="36"/>
      <c r="D211" s="57" t="str">
        <f>IFERROR(VLOOKUP($C211,efetivo!$A:$C,2,FALSE),"")</f>
        <v/>
      </c>
      <c r="E211" s="38"/>
      <c r="F211" s="38"/>
      <c r="G211" s="39"/>
      <c r="H211" s="37" t="str">
        <f>IFERROR(VLOOKUP($C211,efetivo!$A:$C,3,FALSE),"")</f>
        <v/>
      </c>
      <c r="I211" s="38"/>
      <c r="J211" s="38"/>
      <c r="K211" s="40"/>
      <c r="L211" s="13"/>
      <c r="M211" s="9"/>
    </row>
    <row r="212" spans="1:13" x14ac:dyDescent="0.2">
      <c r="A212" s="5"/>
      <c r="B212" s="10"/>
      <c r="C212" s="56"/>
      <c r="D212" s="57" t="str">
        <f>IFERROR(VLOOKUP($C212,efetivo!$A:$C,2,FALSE),"")</f>
        <v/>
      </c>
      <c r="E212" s="38"/>
      <c r="F212" s="38"/>
      <c r="G212" s="39"/>
      <c r="H212" s="37" t="str">
        <f>IFERROR(VLOOKUP($C212,efetivo!$A:$C,3,FALSE),"")</f>
        <v/>
      </c>
      <c r="I212" s="38"/>
      <c r="J212" s="38"/>
      <c r="K212" s="40"/>
      <c r="L212" s="13"/>
      <c r="M212" s="9"/>
    </row>
    <row r="213" spans="1:13" x14ac:dyDescent="0.2">
      <c r="A213" s="5"/>
      <c r="B213" s="10"/>
      <c r="C213" s="36"/>
      <c r="D213" s="57" t="str">
        <f>IFERROR(VLOOKUP($C213,efetivo!$A:$C,2,FALSE),"")</f>
        <v/>
      </c>
      <c r="E213" s="38"/>
      <c r="F213" s="38"/>
      <c r="G213" s="39"/>
      <c r="H213" s="37" t="str">
        <f>IFERROR(VLOOKUP($C213,efetivo!$A:$C,3,FALSE),"")</f>
        <v/>
      </c>
      <c r="I213" s="38"/>
      <c r="J213" s="38"/>
      <c r="K213" s="40"/>
      <c r="L213" s="13"/>
      <c r="M213" s="9"/>
    </row>
    <row r="214" spans="1:13" x14ac:dyDescent="0.2">
      <c r="A214" s="5"/>
      <c r="B214" s="10"/>
      <c r="C214" s="56"/>
      <c r="D214" s="57" t="str">
        <f>IFERROR(VLOOKUP($C214,efetivo!$A:$C,2,FALSE),"")</f>
        <v/>
      </c>
      <c r="E214" s="38"/>
      <c r="F214" s="38"/>
      <c r="G214" s="39"/>
      <c r="H214" s="37" t="str">
        <f>IFERROR(VLOOKUP($C214,efetivo!$A:$C,3,FALSE),"")</f>
        <v/>
      </c>
      <c r="I214" s="38"/>
      <c r="J214" s="38"/>
      <c r="K214" s="40"/>
      <c r="L214" s="13"/>
      <c r="M214" s="9"/>
    </row>
    <row r="215" spans="1:13" x14ac:dyDescent="0.2">
      <c r="A215" s="5"/>
      <c r="B215" s="10"/>
      <c r="C215" s="36"/>
      <c r="D215" s="57" t="str">
        <f>IFERROR(VLOOKUP($C215,efetivo!$A:$C,2,FALSE),"")</f>
        <v/>
      </c>
      <c r="E215" s="38"/>
      <c r="F215" s="38"/>
      <c r="G215" s="39"/>
      <c r="H215" s="37" t="str">
        <f>IFERROR(VLOOKUP($C215,efetivo!$A:$C,3,FALSE),"")</f>
        <v/>
      </c>
      <c r="I215" s="38"/>
      <c r="J215" s="38"/>
      <c r="K215" s="40"/>
      <c r="L215" s="13"/>
      <c r="M215" s="9"/>
    </row>
    <row r="216" spans="1:13" x14ac:dyDescent="0.2">
      <c r="A216" s="5"/>
      <c r="B216" s="10"/>
      <c r="C216" s="56"/>
      <c r="D216" s="57" t="str">
        <f>IFERROR(VLOOKUP($C216,efetivo!$A:$C,2,FALSE),"")</f>
        <v/>
      </c>
      <c r="E216" s="38"/>
      <c r="F216" s="38"/>
      <c r="G216" s="39"/>
      <c r="H216" s="37" t="str">
        <f>IFERROR(VLOOKUP($C216,efetivo!$A:$C,3,FALSE),"")</f>
        <v/>
      </c>
      <c r="I216" s="38"/>
      <c r="J216" s="38"/>
      <c r="K216" s="40"/>
      <c r="L216" s="13"/>
      <c r="M216" s="9"/>
    </row>
    <row r="217" spans="1:13" x14ac:dyDescent="0.2">
      <c r="A217" s="5"/>
      <c r="B217" s="10"/>
      <c r="C217" s="36"/>
      <c r="D217" s="57" t="str">
        <f>IFERROR(VLOOKUP($C217,efetivo!$A:$C,2,FALSE),"")</f>
        <v/>
      </c>
      <c r="E217" s="38"/>
      <c r="F217" s="38"/>
      <c r="G217" s="39"/>
      <c r="H217" s="37" t="str">
        <f>IFERROR(VLOOKUP($C217,efetivo!$A:$C,3,FALSE),"")</f>
        <v/>
      </c>
      <c r="I217" s="38"/>
      <c r="J217" s="38"/>
      <c r="K217" s="40"/>
      <c r="L217" s="13"/>
      <c r="M217" s="9"/>
    </row>
    <row r="218" spans="1:13" x14ac:dyDescent="0.2">
      <c r="A218" s="5"/>
      <c r="B218" s="10"/>
      <c r="C218" s="56"/>
      <c r="D218" s="57" t="str">
        <f>IFERROR(VLOOKUP($C218,efetivo!$A:$C,2,FALSE),"")</f>
        <v/>
      </c>
      <c r="E218" s="38"/>
      <c r="F218" s="38"/>
      <c r="G218" s="39"/>
      <c r="H218" s="37" t="str">
        <f>IFERROR(VLOOKUP($C218,efetivo!$A:$C,3,FALSE),"")</f>
        <v/>
      </c>
      <c r="I218" s="38"/>
      <c r="J218" s="38"/>
      <c r="K218" s="40"/>
      <c r="L218" s="13"/>
      <c r="M218" s="9"/>
    </row>
    <row r="219" spans="1:13" x14ac:dyDescent="0.2">
      <c r="A219" s="5"/>
      <c r="B219" s="10"/>
      <c r="C219" s="36"/>
      <c r="D219" s="57" t="str">
        <f>IFERROR(VLOOKUP($C219,efetivo!$A:$C,2,FALSE),"")</f>
        <v/>
      </c>
      <c r="E219" s="38"/>
      <c r="F219" s="38"/>
      <c r="G219" s="39"/>
      <c r="H219" s="37" t="str">
        <f>IFERROR(VLOOKUP($C219,efetivo!$A:$C,3,FALSE),"")</f>
        <v/>
      </c>
      <c r="I219" s="38"/>
      <c r="J219" s="38"/>
      <c r="K219" s="40"/>
      <c r="L219" s="13"/>
      <c r="M219" s="9"/>
    </row>
    <row r="220" spans="1:13" x14ac:dyDescent="0.2">
      <c r="A220" s="5"/>
      <c r="B220" s="10"/>
      <c r="C220" s="56"/>
      <c r="D220" s="57" t="str">
        <f>IFERROR(VLOOKUP($C220,efetivo!$A:$C,2,FALSE),"")</f>
        <v/>
      </c>
      <c r="E220" s="38"/>
      <c r="F220" s="38"/>
      <c r="G220" s="39"/>
      <c r="H220" s="37" t="str">
        <f>IFERROR(VLOOKUP($C220,efetivo!$A:$C,3,FALSE),"")</f>
        <v/>
      </c>
      <c r="I220" s="38"/>
      <c r="J220" s="38"/>
      <c r="K220" s="40"/>
      <c r="L220" s="13"/>
      <c r="M220" s="9"/>
    </row>
    <row r="221" spans="1:13" x14ac:dyDescent="0.2">
      <c r="A221" s="5"/>
      <c r="B221" s="10"/>
      <c r="C221" s="36"/>
      <c r="D221" s="57" t="str">
        <f>IFERROR(VLOOKUP($C221,efetivo!$A:$C,2,FALSE),"")</f>
        <v/>
      </c>
      <c r="E221" s="38"/>
      <c r="F221" s="38"/>
      <c r="G221" s="39"/>
      <c r="H221" s="37" t="str">
        <f>IFERROR(VLOOKUP($C221,efetivo!$A:$C,3,FALSE),"")</f>
        <v/>
      </c>
      <c r="I221" s="38"/>
      <c r="J221" s="38"/>
      <c r="K221" s="40"/>
      <c r="L221" s="13"/>
      <c r="M221" s="9"/>
    </row>
    <row r="222" spans="1:13" x14ac:dyDescent="0.2">
      <c r="A222" s="5"/>
      <c r="B222" s="10"/>
      <c r="C222" s="56"/>
      <c r="D222" s="57" t="str">
        <f>IFERROR(VLOOKUP($C222,efetivo!$A:$C,2,FALSE),"")</f>
        <v/>
      </c>
      <c r="E222" s="38"/>
      <c r="F222" s="38"/>
      <c r="G222" s="39"/>
      <c r="H222" s="37" t="str">
        <f>IFERROR(VLOOKUP($C222,efetivo!$A:$C,3,FALSE),"")</f>
        <v/>
      </c>
      <c r="I222" s="38"/>
      <c r="J222" s="38"/>
      <c r="K222" s="40"/>
      <c r="L222" s="13"/>
      <c r="M222" s="9"/>
    </row>
    <row r="223" spans="1:13" x14ac:dyDescent="0.2">
      <c r="A223" s="5"/>
      <c r="B223" s="10"/>
      <c r="C223" s="36"/>
      <c r="D223" s="57" t="str">
        <f>IFERROR(VLOOKUP($C223,efetivo!$A:$C,2,FALSE),"")</f>
        <v/>
      </c>
      <c r="E223" s="38"/>
      <c r="F223" s="38"/>
      <c r="G223" s="39"/>
      <c r="H223" s="37" t="str">
        <f>IFERROR(VLOOKUP($C223,efetivo!$A:$C,3,FALSE),"")</f>
        <v/>
      </c>
      <c r="I223" s="38"/>
      <c r="J223" s="38"/>
      <c r="K223" s="40"/>
      <c r="L223" s="13"/>
      <c r="M223" s="9"/>
    </row>
    <row r="224" spans="1:13" x14ac:dyDescent="0.2">
      <c r="A224" s="5"/>
      <c r="B224" s="10"/>
      <c r="C224" s="56"/>
      <c r="D224" s="57" t="str">
        <f>IFERROR(VLOOKUP($C224,efetivo!$A:$C,2,FALSE),"")</f>
        <v/>
      </c>
      <c r="E224" s="38"/>
      <c r="F224" s="38"/>
      <c r="G224" s="39"/>
      <c r="H224" s="37" t="str">
        <f>IFERROR(VLOOKUP($C224,efetivo!$A:$C,3,FALSE),"")</f>
        <v/>
      </c>
      <c r="I224" s="38"/>
      <c r="J224" s="38"/>
      <c r="K224" s="40"/>
      <c r="L224" s="13"/>
      <c r="M224" s="9"/>
    </row>
    <row r="225" spans="1:13" x14ac:dyDescent="0.2">
      <c r="A225" s="5"/>
      <c r="B225" s="10"/>
      <c r="C225" s="36"/>
      <c r="D225" s="57" t="str">
        <f>IFERROR(VLOOKUP($C225,efetivo!$A:$C,2,FALSE),"")</f>
        <v/>
      </c>
      <c r="E225" s="38"/>
      <c r="F225" s="38"/>
      <c r="G225" s="39"/>
      <c r="H225" s="37" t="str">
        <f>IFERROR(VLOOKUP($C225,efetivo!$A:$C,3,FALSE),"")</f>
        <v/>
      </c>
      <c r="I225" s="38"/>
      <c r="J225" s="38"/>
      <c r="K225" s="40"/>
      <c r="L225" s="13"/>
      <c r="M225" s="9"/>
    </row>
    <row r="226" spans="1:13" x14ac:dyDescent="0.2">
      <c r="A226" s="5"/>
      <c r="B226" s="10"/>
      <c r="C226" s="56"/>
      <c r="D226" s="57" t="str">
        <f>IFERROR(VLOOKUP($C226,efetivo!$A:$C,2,FALSE),"")</f>
        <v/>
      </c>
      <c r="E226" s="38"/>
      <c r="F226" s="38"/>
      <c r="G226" s="39"/>
      <c r="H226" s="37" t="str">
        <f>IFERROR(VLOOKUP($C226,efetivo!$A:$C,3,FALSE),"")</f>
        <v/>
      </c>
      <c r="I226" s="38"/>
      <c r="J226" s="38"/>
      <c r="K226" s="40"/>
      <c r="L226" s="13"/>
      <c r="M226" s="9"/>
    </row>
    <row r="227" spans="1:13" x14ac:dyDescent="0.2">
      <c r="A227" s="5"/>
      <c r="B227" s="10"/>
      <c r="C227" s="36"/>
      <c r="D227" s="57" t="str">
        <f>IFERROR(VLOOKUP($C227,efetivo!$A:$C,2,FALSE),"")</f>
        <v/>
      </c>
      <c r="E227" s="38"/>
      <c r="F227" s="38"/>
      <c r="G227" s="39"/>
      <c r="H227" s="37" t="str">
        <f>IFERROR(VLOOKUP($C227,efetivo!$A:$C,3,FALSE),"")</f>
        <v/>
      </c>
      <c r="I227" s="38"/>
      <c r="J227" s="38"/>
      <c r="K227" s="40"/>
      <c r="L227" s="13"/>
      <c r="M227" s="9"/>
    </row>
    <row r="228" spans="1:13" x14ac:dyDescent="0.2">
      <c r="A228" s="5"/>
      <c r="B228" s="10"/>
      <c r="C228" s="56"/>
      <c r="D228" s="57" t="str">
        <f>IFERROR(VLOOKUP($C228,efetivo!$A:$C,2,FALSE),"")</f>
        <v/>
      </c>
      <c r="E228" s="38"/>
      <c r="F228" s="38"/>
      <c r="G228" s="39"/>
      <c r="H228" s="37" t="str">
        <f>IFERROR(VLOOKUP($C228,efetivo!$A:$C,3,FALSE),"")</f>
        <v/>
      </c>
      <c r="I228" s="38"/>
      <c r="J228" s="38"/>
      <c r="K228" s="40"/>
      <c r="L228" s="13"/>
      <c r="M228" s="9"/>
    </row>
    <row r="229" spans="1:13" x14ac:dyDescent="0.2">
      <c r="A229" s="5"/>
      <c r="B229" s="10"/>
      <c r="C229" s="36"/>
      <c r="D229" s="57" t="str">
        <f>IFERROR(VLOOKUP($C229,efetivo!$A:$C,2,FALSE),"")</f>
        <v/>
      </c>
      <c r="E229" s="38"/>
      <c r="F229" s="38"/>
      <c r="G229" s="39"/>
      <c r="H229" s="37" t="str">
        <f>IFERROR(VLOOKUP($C229,efetivo!$A:$C,3,FALSE),"")</f>
        <v/>
      </c>
      <c r="I229" s="38"/>
      <c r="J229" s="38"/>
      <c r="K229" s="40"/>
      <c r="L229" s="13"/>
      <c r="M229" s="9"/>
    </row>
    <row r="230" spans="1:13" x14ac:dyDescent="0.2">
      <c r="A230" s="5"/>
      <c r="B230" s="10"/>
      <c r="C230" s="56"/>
      <c r="D230" s="57" t="str">
        <f>IFERROR(VLOOKUP($C230,efetivo!$A:$C,2,FALSE),"")</f>
        <v/>
      </c>
      <c r="E230" s="38"/>
      <c r="F230" s="38"/>
      <c r="G230" s="39"/>
      <c r="H230" s="37" t="str">
        <f>IFERROR(VLOOKUP($C230,efetivo!$A:$C,3,FALSE),"")</f>
        <v/>
      </c>
      <c r="I230" s="38"/>
      <c r="J230" s="38"/>
      <c r="K230" s="40"/>
      <c r="L230" s="13"/>
      <c r="M230" s="9"/>
    </row>
    <row r="231" spans="1:13" x14ac:dyDescent="0.2">
      <c r="A231" s="5"/>
      <c r="B231" s="10"/>
      <c r="C231" s="36"/>
      <c r="D231" s="57" t="str">
        <f>IFERROR(VLOOKUP($C231,efetivo!$A:$C,2,FALSE),"")</f>
        <v/>
      </c>
      <c r="E231" s="38"/>
      <c r="F231" s="38"/>
      <c r="G231" s="39"/>
      <c r="H231" s="37" t="str">
        <f>IFERROR(VLOOKUP($C231,efetivo!$A:$C,3,FALSE),"")</f>
        <v/>
      </c>
      <c r="I231" s="38"/>
      <c r="J231" s="38"/>
      <c r="K231" s="40"/>
      <c r="L231" s="13"/>
      <c r="M231" s="9"/>
    </row>
    <row r="232" spans="1:13" x14ac:dyDescent="0.2">
      <c r="A232" s="5"/>
      <c r="B232" s="10"/>
      <c r="C232" s="56"/>
      <c r="D232" s="57" t="str">
        <f>IFERROR(VLOOKUP($C232,efetivo!$A:$C,2,FALSE),"")</f>
        <v/>
      </c>
      <c r="E232" s="38"/>
      <c r="F232" s="38"/>
      <c r="G232" s="39"/>
      <c r="H232" s="37" t="str">
        <f>IFERROR(VLOOKUP($C232,efetivo!$A:$C,3,FALSE),"")</f>
        <v/>
      </c>
      <c r="I232" s="38"/>
      <c r="J232" s="38"/>
      <c r="K232" s="40"/>
      <c r="L232" s="13"/>
      <c r="M232" s="9"/>
    </row>
    <row r="233" spans="1:13" x14ac:dyDescent="0.2">
      <c r="A233" s="5"/>
      <c r="B233" s="10"/>
      <c r="C233" s="36"/>
      <c r="D233" s="57" t="str">
        <f>IFERROR(VLOOKUP($C233,efetivo!$A:$C,2,FALSE),"")</f>
        <v/>
      </c>
      <c r="E233" s="38"/>
      <c r="F233" s="38"/>
      <c r="G233" s="39"/>
      <c r="H233" s="37" t="str">
        <f>IFERROR(VLOOKUP($C233,efetivo!$A:$C,3,FALSE),"")</f>
        <v/>
      </c>
      <c r="I233" s="38"/>
      <c r="J233" s="38"/>
      <c r="K233" s="40"/>
      <c r="L233" s="13"/>
      <c r="M233" s="9"/>
    </row>
    <row r="234" spans="1:13" x14ac:dyDescent="0.2">
      <c r="A234" s="5"/>
      <c r="B234" s="10"/>
      <c r="C234" s="56"/>
      <c r="D234" s="57" t="str">
        <f>IFERROR(VLOOKUP($C234,efetivo!$A:$C,2,FALSE),"")</f>
        <v/>
      </c>
      <c r="E234" s="38"/>
      <c r="F234" s="38"/>
      <c r="G234" s="39"/>
      <c r="H234" s="37" t="str">
        <f>IFERROR(VLOOKUP($C234,efetivo!$A:$C,3,FALSE),"")</f>
        <v/>
      </c>
      <c r="I234" s="38"/>
      <c r="J234" s="38"/>
      <c r="K234" s="40"/>
      <c r="L234" s="13"/>
      <c r="M234" s="9"/>
    </row>
    <row r="235" spans="1:13" x14ac:dyDescent="0.2">
      <c r="A235" s="5"/>
      <c r="B235" s="10"/>
      <c r="C235" s="36"/>
      <c r="D235" s="57" t="str">
        <f>IFERROR(VLOOKUP($C235,efetivo!$A:$C,2,FALSE),"")</f>
        <v/>
      </c>
      <c r="E235" s="38"/>
      <c r="F235" s="38"/>
      <c r="G235" s="39"/>
      <c r="H235" s="37" t="str">
        <f>IFERROR(VLOOKUP($C235,efetivo!$A:$C,3,FALSE),"")</f>
        <v/>
      </c>
      <c r="I235" s="38"/>
      <c r="J235" s="38"/>
      <c r="K235" s="40"/>
      <c r="L235" s="13"/>
      <c r="M235" s="9"/>
    </row>
    <row r="236" spans="1:13" x14ac:dyDescent="0.2">
      <c r="A236" s="5"/>
      <c r="B236" s="10"/>
      <c r="C236" s="56"/>
      <c r="D236" s="57" t="str">
        <f>IFERROR(VLOOKUP($C236,efetivo!$A:$C,2,FALSE),"")</f>
        <v/>
      </c>
      <c r="E236" s="38"/>
      <c r="F236" s="38"/>
      <c r="G236" s="39"/>
      <c r="H236" s="37" t="str">
        <f>IFERROR(VLOOKUP($C236,efetivo!$A:$C,3,FALSE),"")</f>
        <v/>
      </c>
      <c r="I236" s="38"/>
      <c r="J236" s="38"/>
      <c r="K236" s="40"/>
      <c r="L236" s="13"/>
      <c r="M236" s="9"/>
    </row>
    <row r="237" spans="1:13" x14ac:dyDescent="0.2">
      <c r="A237" s="5"/>
      <c r="B237" s="10"/>
      <c r="C237" s="36"/>
      <c r="D237" s="57" t="str">
        <f>IFERROR(VLOOKUP($C237,efetivo!$A:$C,2,FALSE),"")</f>
        <v/>
      </c>
      <c r="E237" s="38"/>
      <c r="F237" s="38"/>
      <c r="G237" s="39"/>
      <c r="H237" s="37" t="str">
        <f>IFERROR(VLOOKUP($C237,efetivo!$A:$C,3,FALSE),"")</f>
        <v/>
      </c>
      <c r="I237" s="38"/>
      <c r="J237" s="38"/>
      <c r="K237" s="40"/>
      <c r="L237" s="13"/>
      <c r="M237" s="9"/>
    </row>
    <row r="238" spans="1:13" x14ac:dyDescent="0.2">
      <c r="A238" s="5"/>
      <c r="B238" s="10"/>
      <c r="C238" s="56"/>
      <c r="D238" s="57" t="str">
        <f>IFERROR(VLOOKUP($C238,efetivo!$A:$C,2,FALSE),"")</f>
        <v/>
      </c>
      <c r="E238" s="38"/>
      <c r="F238" s="38"/>
      <c r="G238" s="39"/>
      <c r="H238" s="37" t="str">
        <f>IFERROR(VLOOKUP($C238,efetivo!$A:$C,3,FALSE),"")</f>
        <v/>
      </c>
      <c r="I238" s="38"/>
      <c r="J238" s="38"/>
      <c r="K238" s="40"/>
      <c r="L238" s="13"/>
      <c r="M238" s="9"/>
    </row>
    <row r="239" spans="1:13" x14ac:dyDescent="0.2">
      <c r="A239" s="5"/>
      <c r="B239" s="10"/>
      <c r="C239" s="36"/>
      <c r="D239" s="57" t="str">
        <f>IFERROR(VLOOKUP($C239,efetivo!$A:$C,2,FALSE),"")</f>
        <v/>
      </c>
      <c r="E239" s="38"/>
      <c r="F239" s="38"/>
      <c r="G239" s="39"/>
      <c r="H239" s="37" t="str">
        <f>IFERROR(VLOOKUP($C239,efetivo!$A:$C,3,FALSE),"")</f>
        <v/>
      </c>
      <c r="I239" s="38"/>
      <c r="J239" s="38"/>
      <c r="K239" s="40"/>
      <c r="L239" s="13"/>
      <c r="M239" s="9"/>
    </row>
    <row r="240" spans="1:13" x14ac:dyDescent="0.2">
      <c r="A240" s="5"/>
      <c r="B240" s="10"/>
      <c r="C240" s="56"/>
      <c r="D240" s="57" t="str">
        <f>IFERROR(VLOOKUP($C240,efetivo!$A:$C,2,FALSE),"")</f>
        <v/>
      </c>
      <c r="E240" s="38"/>
      <c r="F240" s="38"/>
      <c r="G240" s="39"/>
      <c r="H240" s="37" t="str">
        <f>IFERROR(VLOOKUP($C240,efetivo!$A:$C,3,FALSE),"")</f>
        <v/>
      </c>
      <c r="I240" s="38"/>
      <c r="J240" s="38"/>
      <c r="K240" s="40"/>
      <c r="L240" s="13"/>
      <c r="M240" s="9"/>
    </row>
    <row r="241" spans="1:13" ht="13.5" thickBot="1" x14ac:dyDescent="0.25">
      <c r="A241" s="5"/>
      <c r="B241" s="10"/>
      <c r="C241" s="58"/>
      <c r="D241" s="59" t="str">
        <f>IFERROR(VLOOKUP($C241,efetivo!$A:$C,2,FALSE),"")</f>
        <v/>
      </c>
      <c r="E241" s="25"/>
      <c r="F241" s="25"/>
      <c r="G241" s="44"/>
      <c r="H241" s="45" t="str">
        <f>IFERROR(VLOOKUP($C241,efetivo!$A:$C,3,FALSE),"")</f>
        <v/>
      </c>
      <c r="I241" s="25"/>
      <c r="J241" s="46"/>
      <c r="K241" s="47"/>
      <c r="L241" s="13"/>
      <c r="M241" s="9"/>
    </row>
    <row r="242" spans="1:13" ht="13.5" thickBot="1" x14ac:dyDescent="0.25">
      <c r="A242" s="5"/>
      <c r="B242" s="48"/>
      <c r="C242" s="49"/>
      <c r="D242" s="49"/>
      <c r="E242" s="49"/>
      <c r="F242" s="49"/>
      <c r="G242" s="49"/>
      <c r="H242" s="49"/>
      <c r="I242" s="49"/>
      <c r="J242" s="49"/>
      <c r="K242" s="49"/>
      <c r="L242" s="50"/>
      <c r="M242" s="9"/>
    </row>
    <row r="243" spans="1:13" ht="13.5" thickBot="1" x14ac:dyDescent="0.25">
      <c r="A243" s="51"/>
      <c r="B243" s="52"/>
      <c r="C243" s="52"/>
      <c r="D243" s="52"/>
      <c r="E243" s="52"/>
      <c r="F243" s="52"/>
      <c r="G243" s="52"/>
      <c r="H243" s="52"/>
      <c r="I243" s="52"/>
      <c r="J243" s="52"/>
      <c r="K243" s="258"/>
      <c r="L243" s="258"/>
      <c r="M243" s="259"/>
    </row>
  </sheetData>
  <mergeCells count="24">
    <mergeCell ref="C3:K6"/>
    <mergeCell ref="C65:K68"/>
    <mergeCell ref="D10:H10"/>
    <mergeCell ref="C12:C13"/>
    <mergeCell ref="D12:G13"/>
    <mergeCell ref="H12:K13"/>
    <mergeCell ref="K58:M58"/>
    <mergeCell ref="C127:K130"/>
    <mergeCell ref="D72:H72"/>
    <mergeCell ref="C74:C75"/>
    <mergeCell ref="D74:G75"/>
    <mergeCell ref="H74:K75"/>
    <mergeCell ref="K120:M120"/>
    <mergeCell ref="K243:M243"/>
    <mergeCell ref="D134:H134"/>
    <mergeCell ref="C136:C137"/>
    <mergeCell ref="D136:G137"/>
    <mergeCell ref="H136:K137"/>
    <mergeCell ref="K182:M182"/>
    <mergeCell ref="D188:J191"/>
    <mergeCell ref="D195:H195"/>
    <mergeCell ref="C197:C198"/>
    <mergeCell ref="D197:G198"/>
    <mergeCell ref="H197:K198"/>
  </mergeCells>
  <printOptions horizontalCentered="1"/>
  <pageMargins left="0.25" right="0.25" top="0.75" bottom="0.75" header="0.3" footer="0.3"/>
  <pageSetup paperSize="9" scale="78" fitToWidth="0" fitToHeight="0" orientation="portrait" r:id="rId1"/>
  <headerFooter alignWithMargins="0"/>
  <rowBreaks count="3" manualBreakCount="3">
    <brk id="60" max="13" man="1"/>
    <brk id="122" max="13" man="1"/>
    <brk id="184" max="13" man="1"/>
  </rowBreaks>
  <colBreaks count="1" manualBreakCount="1">
    <brk id="14" max="5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C23B-D904-4868-8054-7EA56CBE1425}">
  <dimension ref="A1:C137"/>
  <sheetViews>
    <sheetView workbookViewId="0">
      <selection activeCell="R194" sqref="R194"/>
    </sheetView>
  </sheetViews>
  <sheetFormatPr defaultRowHeight="15" x14ac:dyDescent="0.25"/>
  <cols>
    <col min="2" max="2" width="69.42578125" bestFit="1" customWidth="1"/>
    <col min="3" max="3" width="39.42578125" bestFit="1" customWidth="1"/>
  </cols>
  <sheetData>
    <row r="1" spans="1:3" x14ac:dyDescent="0.25">
      <c r="A1">
        <v>1</v>
      </c>
      <c r="B1" s="60" t="s">
        <v>14</v>
      </c>
      <c r="C1" s="61" t="s">
        <v>15</v>
      </c>
    </row>
    <row r="2" spans="1:3" x14ac:dyDescent="0.25">
      <c r="A2">
        <v>2</v>
      </c>
      <c r="B2" s="62" t="s">
        <v>16</v>
      </c>
      <c r="C2" s="63" t="s">
        <v>15</v>
      </c>
    </row>
    <row r="3" spans="1:3" x14ac:dyDescent="0.25">
      <c r="A3">
        <v>3</v>
      </c>
      <c r="B3" s="60" t="s">
        <v>17</v>
      </c>
      <c r="C3" s="61" t="s">
        <v>15</v>
      </c>
    </row>
    <row r="4" spans="1:3" x14ac:dyDescent="0.25">
      <c r="A4">
        <v>4</v>
      </c>
      <c r="B4" s="64" t="s">
        <v>18</v>
      </c>
      <c r="C4" s="63" t="s">
        <v>15</v>
      </c>
    </row>
    <row r="5" spans="1:3" x14ac:dyDescent="0.25">
      <c r="A5">
        <v>5</v>
      </c>
      <c r="B5" s="60" t="s">
        <v>19</v>
      </c>
      <c r="C5" s="61" t="s">
        <v>15</v>
      </c>
    </row>
    <row r="6" spans="1:3" x14ac:dyDescent="0.25">
      <c r="A6">
        <v>6</v>
      </c>
      <c r="B6" s="65" t="s">
        <v>20</v>
      </c>
      <c r="C6" s="63" t="s">
        <v>15</v>
      </c>
    </row>
    <row r="7" spans="1:3" x14ac:dyDescent="0.25">
      <c r="A7">
        <v>7</v>
      </c>
      <c r="B7" s="61" t="s">
        <v>21</v>
      </c>
      <c r="C7" s="61" t="s">
        <v>15</v>
      </c>
    </row>
    <row r="8" spans="1:3" x14ac:dyDescent="0.25">
      <c r="A8">
        <v>8</v>
      </c>
      <c r="B8" s="63" t="s">
        <v>22</v>
      </c>
      <c r="C8" s="63" t="s">
        <v>15</v>
      </c>
    </row>
    <row r="9" spans="1:3" x14ac:dyDescent="0.25">
      <c r="A9">
        <v>9</v>
      </c>
      <c r="B9" s="61" t="s">
        <v>23</v>
      </c>
      <c r="C9" s="61" t="s">
        <v>15</v>
      </c>
    </row>
    <row r="10" spans="1:3" x14ac:dyDescent="0.25">
      <c r="A10">
        <v>10</v>
      </c>
      <c r="B10" s="63" t="s">
        <v>24</v>
      </c>
      <c r="C10" s="63" t="s">
        <v>15</v>
      </c>
    </row>
    <row r="11" spans="1:3" x14ac:dyDescent="0.25">
      <c r="A11">
        <v>11</v>
      </c>
      <c r="B11" s="61" t="s">
        <v>25</v>
      </c>
      <c r="C11" s="61" t="s">
        <v>15</v>
      </c>
    </row>
    <row r="12" spans="1:3" x14ac:dyDescent="0.25">
      <c r="A12">
        <v>12</v>
      </c>
      <c r="B12" s="63" t="s">
        <v>26</v>
      </c>
      <c r="C12" s="63" t="s">
        <v>15</v>
      </c>
    </row>
    <row r="13" spans="1:3" x14ac:dyDescent="0.25">
      <c r="A13">
        <v>13</v>
      </c>
      <c r="B13" s="61" t="s">
        <v>27</v>
      </c>
      <c r="C13" s="61" t="s">
        <v>15</v>
      </c>
    </row>
    <row r="14" spans="1:3" x14ac:dyDescent="0.25">
      <c r="A14">
        <v>14</v>
      </c>
      <c r="B14" s="63" t="s">
        <v>28</v>
      </c>
      <c r="C14" s="63" t="s">
        <v>15</v>
      </c>
    </row>
    <row r="15" spans="1:3" x14ac:dyDescent="0.25">
      <c r="A15">
        <v>15</v>
      </c>
      <c r="B15" s="61" t="s">
        <v>29</v>
      </c>
      <c r="C15" s="61" t="s">
        <v>15</v>
      </c>
    </row>
    <row r="16" spans="1:3" x14ac:dyDescent="0.25">
      <c r="A16">
        <v>16</v>
      </c>
      <c r="B16" s="63" t="s">
        <v>30</v>
      </c>
      <c r="C16" s="63" t="s">
        <v>15</v>
      </c>
    </row>
    <row r="17" spans="1:3" x14ac:dyDescent="0.25">
      <c r="A17">
        <v>17</v>
      </c>
      <c r="B17" s="66" t="s">
        <v>31</v>
      </c>
      <c r="C17" s="61" t="s">
        <v>15</v>
      </c>
    </row>
    <row r="18" spans="1:3" x14ac:dyDescent="0.25">
      <c r="A18">
        <v>18</v>
      </c>
      <c r="B18" s="63" t="s">
        <v>32</v>
      </c>
      <c r="C18" s="63" t="s">
        <v>15</v>
      </c>
    </row>
    <row r="19" spans="1:3" x14ac:dyDescent="0.25">
      <c r="A19">
        <v>19</v>
      </c>
      <c r="B19" s="67" t="s">
        <v>33</v>
      </c>
      <c r="C19" s="61" t="s">
        <v>15</v>
      </c>
    </row>
    <row r="20" spans="1:3" x14ac:dyDescent="0.25">
      <c r="A20">
        <v>20</v>
      </c>
      <c r="B20" s="63" t="s">
        <v>34</v>
      </c>
      <c r="C20" s="63" t="s">
        <v>15</v>
      </c>
    </row>
    <row r="21" spans="1:3" x14ac:dyDescent="0.25">
      <c r="A21">
        <v>21</v>
      </c>
      <c r="B21" s="61" t="s">
        <v>35</v>
      </c>
      <c r="C21" s="61" t="s">
        <v>15</v>
      </c>
    </row>
    <row r="22" spans="1:3" x14ac:dyDescent="0.25">
      <c r="A22">
        <v>22</v>
      </c>
      <c r="B22" s="63" t="s">
        <v>36</v>
      </c>
      <c r="C22" s="63" t="s">
        <v>15</v>
      </c>
    </row>
    <row r="23" spans="1:3" x14ac:dyDescent="0.25">
      <c r="A23">
        <v>23</v>
      </c>
      <c r="B23" s="61" t="s">
        <v>37</v>
      </c>
      <c r="C23" s="61" t="s">
        <v>15</v>
      </c>
    </row>
    <row r="24" spans="1:3" x14ac:dyDescent="0.25">
      <c r="A24">
        <v>24</v>
      </c>
      <c r="B24" s="63" t="s">
        <v>38</v>
      </c>
      <c r="C24" s="63" t="s">
        <v>15</v>
      </c>
    </row>
    <row r="25" spans="1:3" x14ac:dyDescent="0.25">
      <c r="A25">
        <v>25</v>
      </c>
      <c r="B25" s="61" t="s">
        <v>39</v>
      </c>
      <c r="C25" s="61" t="s">
        <v>15</v>
      </c>
    </row>
    <row r="26" spans="1:3" x14ac:dyDescent="0.25">
      <c r="A26">
        <v>26</v>
      </c>
      <c r="B26" s="63" t="s">
        <v>40</v>
      </c>
      <c r="C26" s="63" t="s">
        <v>15</v>
      </c>
    </row>
    <row r="27" spans="1:3" x14ac:dyDescent="0.25">
      <c r="A27">
        <v>27</v>
      </c>
      <c r="B27" s="61" t="s">
        <v>41</v>
      </c>
      <c r="C27" s="61" t="s">
        <v>15</v>
      </c>
    </row>
    <row r="28" spans="1:3" x14ac:dyDescent="0.25">
      <c r="A28">
        <v>28</v>
      </c>
      <c r="B28" s="68" t="s">
        <v>42</v>
      </c>
      <c r="C28" s="63" t="s">
        <v>15</v>
      </c>
    </row>
    <row r="29" spans="1:3" x14ac:dyDescent="0.25">
      <c r="A29">
        <v>29</v>
      </c>
      <c r="B29" s="69" t="s">
        <v>43</v>
      </c>
      <c r="C29" s="61" t="s">
        <v>15</v>
      </c>
    </row>
    <row r="30" spans="1:3" x14ac:dyDescent="0.25">
      <c r="A30">
        <v>30</v>
      </c>
      <c r="B30" s="64" t="s">
        <v>44</v>
      </c>
      <c r="C30" s="63" t="s">
        <v>15</v>
      </c>
    </row>
    <row r="31" spans="1:3" x14ac:dyDescent="0.25">
      <c r="A31">
        <v>31</v>
      </c>
      <c r="B31" s="66" t="s">
        <v>45</v>
      </c>
      <c r="C31" s="61" t="s">
        <v>15</v>
      </c>
    </row>
    <row r="32" spans="1:3" x14ac:dyDescent="0.25">
      <c r="A32">
        <v>32</v>
      </c>
      <c r="B32" s="64" t="s">
        <v>46</v>
      </c>
      <c r="C32" s="63" t="s">
        <v>15</v>
      </c>
    </row>
    <row r="33" spans="1:3" x14ac:dyDescent="0.25">
      <c r="A33">
        <v>33</v>
      </c>
      <c r="B33" s="66" t="s">
        <v>47</v>
      </c>
      <c r="C33" s="61" t="s">
        <v>15</v>
      </c>
    </row>
    <row r="34" spans="1:3" x14ac:dyDescent="0.25">
      <c r="A34">
        <v>34</v>
      </c>
      <c r="B34" s="62" t="s">
        <v>48</v>
      </c>
      <c r="C34" s="63" t="s">
        <v>15</v>
      </c>
    </row>
    <row r="35" spans="1:3" x14ac:dyDescent="0.25">
      <c r="A35">
        <v>35</v>
      </c>
      <c r="B35" s="66" t="s">
        <v>49</v>
      </c>
      <c r="C35" s="61" t="s">
        <v>15</v>
      </c>
    </row>
    <row r="36" spans="1:3" x14ac:dyDescent="0.25">
      <c r="A36">
        <v>36</v>
      </c>
      <c r="B36" s="64" t="s">
        <v>50</v>
      </c>
      <c r="C36" s="63" t="s">
        <v>15</v>
      </c>
    </row>
    <row r="37" spans="1:3" x14ac:dyDescent="0.25">
      <c r="A37">
        <v>37</v>
      </c>
      <c r="B37" s="61" t="s">
        <v>51</v>
      </c>
      <c r="C37" s="61" t="s">
        <v>52</v>
      </c>
    </row>
    <row r="38" spans="1:3" x14ac:dyDescent="0.25">
      <c r="A38">
        <v>38</v>
      </c>
      <c r="B38" s="63" t="s">
        <v>53</v>
      </c>
      <c r="C38" s="63" t="s">
        <v>52</v>
      </c>
    </row>
    <row r="39" spans="1:3" x14ac:dyDescent="0.25">
      <c r="A39">
        <v>39</v>
      </c>
      <c r="B39" s="61" t="s">
        <v>54</v>
      </c>
      <c r="C39" s="61" t="s">
        <v>52</v>
      </c>
    </row>
    <row r="40" spans="1:3" x14ac:dyDescent="0.25">
      <c r="A40">
        <v>40</v>
      </c>
      <c r="B40" s="63" t="s">
        <v>55</v>
      </c>
      <c r="C40" s="63" t="s">
        <v>52</v>
      </c>
    </row>
    <row r="41" spans="1:3" x14ac:dyDescent="0.25">
      <c r="A41">
        <v>41</v>
      </c>
      <c r="B41" s="67" t="s">
        <v>56</v>
      </c>
      <c r="C41" s="67" t="s">
        <v>57</v>
      </c>
    </row>
    <row r="42" spans="1:3" x14ac:dyDescent="0.25">
      <c r="A42">
        <v>42</v>
      </c>
      <c r="B42" s="64" t="s">
        <v>58</v>
      </c>
      <c r="C42" s="62" t="s">
        <v>57</v>
      </c>
    </row>
    <row r="43" spans="1:3" x14ac:dyDescent="0.25">
      <c r="A43">
        <v>43</v>
      </c>
      <c r="B43" s="66" t="s">
        <v>59</v>
      </c>
      <c r="C43" s="67" t="s">
        <v>57</v>
      </c>
    </row>
    <row r="44" spans="1:3" x14ac:dyDescent="0.25">
      <c r="A44">
        <v>44</v>
      </c>
      <c r="B44" s="70" t="s">
        <v>60</v>
      </c>
      <c r="C44" s="62" t="s">
        <v>57</v>
      </c>
    </row>
    <row r="45" spans="1:3" x14ac:dyDescent="0.25">
      <c r="A45">
        <v>45</v>
      </c>
      <c r="B45" s="66" t="s">
        <v>61</v>
      </c>
      <c r="C45" s="67" t="s">
        <v>57</v>
      </c>
    </row>
    <row r="46" spans="1:3" x14ac:dyDescent="0.25">
      <c r="A46">
        <v>46</v>
      </c>
      <c r="B46" s="64" t="s">
        <v>62</v>
      </c>
      <c r="C46" s="62" t="s">
        <v>57</v>
      </c>
    </row>
    <row r="47" spans="1:3" x14ac:dyDescent="0.25">
      <c r="A47">
        <v>47</v>
      </c>
      <c r="B47" s="66" t="s">
        <v>63</v>
      </c>
      <c r="C47" s="66" t="s">
        <v>64</v>
      </c>
    </row>
    <row r="48" spans="1:3" x14ac:dyDescent="0.25">
      <c r="A48">
        <v>48</v>
      </c>
      <c r="B48" s="68" t="s">
        <v>65</v>
      </c>
      <c r="C48" s="68" t="s">
        <v>66</v>
      </c>
    </row>
    <row r="49" spans="1:3" x14ac:dyDescent="0.25">
      <c r="A49">
        <v>49</v>
      </c>
      <c r="B49" s="60" t="s">
        <v>67</v>
      </c>
      <c r="C49" s="60" t="s">
        <v>66</v>
      </c>
    </row>
    <row r="50" spans="1:3" x14ac:dyDescent="0.25">
      <c r="A50">
        <v>50</v>
      </c>
      <c r="B50" s="63" t="s">
        <v>68</v>
      </c>
      <c r="C50" s="63" t="s">
        <v>69</v>
      </c>
    </row>
    <row r="51" spans="1:3" x14ac:dyDescent="0.25">
      <c r="A51">
        <v>51</v>
      </c>
      <c r="B51" s="60" t="s">
        <v>70</v>
      </c>
      <c r="C51" s="61" t="s">
        <v>69</v>
      </c>
    </row>
    <row r="52" spans="1:3" x14ac:dyDescent="0.25">
      <c r="A52">
        <v>52</v>
      </c>
      <c r="B52" s="64" t="s">
        <v>71</v>
      </c>
      <c r="C52" s="63" t="s">
        <v>69</v>
      </c>
    </row>
    <row r="53" spans="1:3" x14ac:dyDescent="0.25">
      <c r="A53">
        <v>53</v>
      </c>
      <c r="B53" s="61" t="s">
        <v>72</v>
      </c>
      <c r="C53" s="61" t="s">
        <v>69</v>
      </c>
    </row>
    <row r="54" spans="1:3" x14ac:dyDescent="0.25">
      <c r="A54">
        <v>54</v>
      </c>
      <c r="B54" s="62" t="s">
        <v>73</v>
      </c>
      <c r="C54" s="63" t="s">
        <v>69</v>
      </c>
    </row>
    <row r="55" spans="1:3" x14ac:dyDescent="0.25">
      <c r="A55">
        <v>55</v>
      </c>
      <c r="B55" s="61" t="s">
        <v>74</v>
      </c>
      <c r="C55" s="61" t="s">
        <v>69</v>
      </c>
    </row>
    <row r="56" spans="1:3" x14ac:dyDescent="0.25">
      <c r="A56">
        <v>56</v>
      </c>
      <c r="B56" s="63" t="s">
        <v>75</v>
      </c>
      <c r="C56" s="63" t="s">
        <v>69</v>
      </c>
    </row>
    <row r="57" spans="1:3" x14ac:dyDescent="0.25">
      <c r="A57">
        <v>57</v>
      </c>
      <c r="B57" s="61" t="s">
        <v>76</v>
      </c>
      <c r="C57" s="61" t="s">
        <v>69</v>
      </c>
    </row>
    <row r="58" spans="1:3" x14ac:dyDescent="0.25">
      <c r="A58">
        <v>58</v>
      </c>
      <c r="B58" s="64" t="s">
        <v>77</v>
      </c>
      <c r="C58" s="68" t="s">
        <v>78</v>
      </c>
    </row>
    <row r="59" spans="1:3" x14ac:dyDescent="0.25">
      <c r="A59">
        <v>59</v>
      </c>
      <c r="B59" s="67" t="s">
        <v>79</v>
      </c>
      <c r="C59" s="67" t="s">
        <v>80</v>
      </c>
    </row>
    <row r="60" spans="1:3" x14ac:dyDescent="0.25">
      <c r="A60">
        <v>60</v>
      </c>
      <c r="B60" s="64" t="s">
        <v>81</v>
      </c>
      <c r="C60" s="64" t="s">
        <v>82</v>
      </c>
    </row>
    <row r="61" spans="1:3" x14ac:dyDescent="0.25">
      <c r="A61">
        <v>61</v>
      </c>
      <c r="B61" s="60" t="s">
        <v>83</v>
      </c>
      <c r="C61" s="60" t="s">
        <v>84</v>
      </c>
    </row>
    <row r="62" spans="1:3" x14ac:dyDescent="0.25">
      <c r="A62">
        <v>62</v>
      </c>
      <c r="B62" s="63" t="s">
        <v>85</v>
      </c>
      <c r="C62" s="63" t="s">
        <v>86</v>
      </c>
    </row>
    <row r="63" spans="1:3" x14ac:dyDescent="0.25">
      <c r="A63">
        <v>63</v>
      </c>
      <c r="B63" s="66" t="s">
        <v>87</v>
      </c>
      <c r="C63" s="66" t="s">
        <v>88</v>
      </c>
    </row>
    <row r="64" spans="1:3" x14ac:dyDescent="0.25">
      <c r="A64">
        <v>64</v>
      </c>
      <c r="B64" s="68" t="s">
        <v>89</v>
      </c>
      <c r="C64" s="68" t="s">
        <v>90</v>
      </c>
    </row>
    <row r="65" spans="1:3" x14ac:dyDescent="0.25">
      <c r="A65">
        <v>65</v>
      </c>
      <c r="B65" s="60" t="s">
        <v>91</v>
      </c>
      <c r="C65" s="60" t="s">
        <v>92</v>
      </c>
    </row>
    <row r="66" spans="1:3" x14ac:dyDescent="0.25">
      <c r="A66">
        <v>66</v>
      </c>
      <c r="B66" s="64" t="s">
        <v>93</v>
      </c>
      <c r="C66" s="62" t="s">
        <v>94</v>
      </c>
    </row>
    <row r="67" spans="1:3" x14ac:dyDescent="0.25">
      <c r="A67">
        <v>67</v>
      </c>
      <c r="B67" s="67" t="s">
        <v>95</v>
      </c>
      <c r="C67" s="61" t="s">
        <v>96</v>
      </c>
    </row>
    <row r="68" spans="1:3" x14ac:dyDescent="0.25">
      <c r="A68">
        <v>68</v>
      </c>
      <c r="B68" s="68" t="s">
        <v>97</v>
      </c>
      <c r="C68" s="68" t="s">
        <v>98</v>
      </c>
    </row>
    <row r="69" spans="1:3" x14ac:dyDescent="0.25">
      <c r="A69">
        <v>69</v>
      </c>
      <c r="B69" s="61" t="s">
        <v>99</v>
      </c>
      <c r="C69" s="61" t="s">
        <v>100</v>
      </c>
    </row>
    <row r="70" spans="1:3" x14ac:dyDescent="0.25">
      <c r="A70">
        <v>70</v>
      </c>
      <c r="B70" s="64" t="s">
        <v>101</v>
      </c>
      <c r="C70" s="62" t="s">
        <v>100</v>
      </c>
    </row>
    <row r="71" spans="1:3" x14ac:dyDescent="0.25">
      <c r="A71">
        <v>71</v>
      </c>
      <c r="B71" s="60" t="s">
        <v>102</v>
      </c>
      <c r="C71" s="60" t="s">
        <v>103</v>
      </c>
    </row>
    <row r="72" spans="1:3" x14ac:dyDescent="0.25">
      <c r="A72">
        <v>72</v>
      </c>
      <c r="B72" s="71" t="s">
        <v>104</v>
      </c>
      <c r="C72" s="72" t="s">
        <v>105</v>
      </c>
    </row>
    <row r="73" spans="1:3" x14ac:dyDescent="0.25">
      <c r="A73">
        <v>73</v>
      </c>
      <c r="B73" s="69" t="s">
        <v>106</v>
      </c>
      <c r="C73" s="73" t="s">
        <v>105</v>
      </c>
    </row>
    <row r="74" spans="1:3" x14ac:dyDescent="0.25">
      <c r="A74">
        <v>74</v>
      </c>
      <c r="B74" s="64" t="s">
        <v>107</v>
      </c>
      <c r="C74" s="62" t="s">
        <v>108</v>
      </c>
    </row>
    <row r="75" spans="1:3" x14ac:dyDescent="0.25">
      <c r="A75">
        <v>75</v>
      </c>
      <c r="B75" s="60" t="s">
        <v>109</v>
      </c>
      <c r="C75" s="60" t="s">
        <v>110</v>
      </c>
    </row>
    <row r="76" spans="1:3" x14ac:dyDescent="0.25">
      <c r="A76">
        <v>76</v>
      </c>
      <c r="B76" s="63" t="s">
        <v>111</v>
      </c>
      <c r="C76" s="63" t="s">
        <v>112</v>
      </c>
    </row>
    <row r="77" spans="1:3" x14ac:dyDescent="0.25">
      <c r="A77">
        <v>77</v>
      </c>
      <c r="B77" s="66" t="s">
        <v>113</v>
      </c>
      <c r="C77" s="61" t="s">
        <v>112</v>
      </c>
    </row>
    <row r="78" spans="1:3" x14ac:dyDescent="0.25">
      <c r="A78">
        <v>78</v>
      </c>
      <c r="B78" s="72" t="s">
        <v>114</v>
      </c>
      <c r="C78" s="72" t="s">
        <v>115</v>
      </c>
    </row>
    <row r="79" spans="1:3" x14ac:dyDescent="0.25">
      <c r="A79">
        <v>79</v>
      </c>
      <c r="B79" s="61" t="s">
        <v>116</v>
      </c>
      <c r="C79" s="73" t="s">
        <v>115</v>
      </c>
    </row>
    <row r="80" spans="1:3" x14ac:dyDescent="0.25">
      <c r="A80">
        <v>80</v>
      </c>
      <c r="B80" s="64" t="s">
        <v>117</v>
      </c>
      <c r="C80" s="72" t="s">
        <v>115</v>
      </c>
    </row>
    <row r="81" spans="1:3" x14ac:dyDescent="0.25">
      <c r="A81">
        <v>81</v>
      </c>
      <c r="B81" s="61" t="s">
        <v>118</v>
      </c>
      <c r="C81" s="61" t="s">
        <v>119</v>
      </c>
    </row>
    <row r="82" spans="1:3" x14ac:dyDescent="0.25">
      <c r="A82">
        <v>82</v>
      </c>
      <c r="B82" s="71" t="s">
        <v>120</v>
      </c>
      <c r="C82" s="68" t="s">
        <v>121</v>
      </c>
    </row>
    <row r="83" spans="1:3" x14ac:dyDescent="0.25">
      <c r="A83">
        <v>83</v>
      </c>
      <c r="B83" s="61" t="s">
        <v>122</v>
      </c>
      <c r="C83" s="60" t="s">
        <v>121</v>
      </c>
    </row>
    <row r="84" spans="1:3" x14ac:dyDescent="0.25">
      <c r="A84">
        <v>84</v>
      </c>
      <c r="B84" s="63" t="s">
        <v>123</v>
      </c>
      <c r="C84" s="68" t="s">
        <v>121</v>
      </c>
    </row>
    <row r="85" spans="1:3" x14ac:dyDescent="0.25">
      <c r="A85">
        <v>85</v>
      </c>
      <c r="B85" s="66" t="s">
        <v>124</v>
      </c>
      <c r="C85" s="60" t="s">
        <v>121</v>
      </c>
    </row>
    <row r="86" spans="1:3" x14ac:dyDescent="0.25">
      <c r="A86">
        <v>86</v>
      </c>
      <c r="B86" s="64" t="s">
        <v>125</v>
      </c>
      <c r="C86" s="68" t="s">
        <v>121</v>
      </c>
    </row>
    <row r="87" spans="1:3" x14ac:dyDescent="0.25">
      <c r="A87">
        <v>87</v>
      </c>
      <c r="B87" s="66" t="s">
        <v>126</v>
      </c>
      <c r="C87" s="60" t="s">
        <v>121</v>
      </c>
    </row>
    <row r="88" spans="1:3" x14ac:dyDescent="0.25">
      <c r="A88">
        <v>88</v>
      </c>
      <c r="B88" s="62" t="s">
        <v>127</v>
      </c>
      <c r="C88" s="68" t="s">
        <v>121</v>
      </c>
    </row>
    <row r="89" spans="1:3" x14ac:dyDescent="0.25">
      <c r="A89">
        <v>89</v>
      </c>
      <c r="B89" s="60" t="s">
        <v>128</v>
      </c>
      <c r="C89" s="60" t="s">
        <v>121</v>
      </c>
    </row>
    <row r="90" spans="1:3" x14ac:dyDescent="0.25">
      <c r="A90">
        <v>90</v>
      </c>
      <c r="B90" s="64" t="s">
        <v>129</v>
      </c>
      <c r="C90" s="68" t="s">
        <v>121</v>
      </c>
    </row>
    <row r="91" spans="1:3" x14ac:dyDescent="0.25">
      <c r="A91">
        <v>91</v>
      </c>
      <c r="B91" s="66" t="s">
        <v>130</v>
      </c>
      <c r="C91" s="60" t="s">
        <v>121</v>
      </c>
    </row>
    <row r="92" spans="1:3" x14ac:dyDescent="0.25">
      <c r="A92">
        <v>92</v>
      </c>
      <c r="B92" s="62" t="s">
        <v>131</v>
      </c>
      <c r="C92" s="68" t="s">
        <v>121</v>
      </c>
    </row>
    <row r="93" spans="1:3" x14ac:dyDescent="0.25">
      <c r="A93">
        <v>93</v>
      </c>
      <c r="B93" s="60" t="s">
        <v>132</v>
      </c>
      <c r="C93" s="60" t="s">
        <v>121</v>
      </c>
    </row>
    <row r="94" spans="1:3" x14ac:dyDescent="0.25">
      <c r="A94">
        <v>94</v>
      </c>
      <c r="B94" s="68" t="s">
        <v>133</v>
      </c>
      <c r="C94" s="68" t="s">
        <v>121</v>
      </c>
    </row>
    <row r="95" spans="1:3" x14ac:dyDescent="0.25">
      <c r="A95">
        <v>95</v>
      </c>
      <c r="B95" s="67" t="s">
        <v>134</v>
      </c>
      <c r="C95" s="60" t="s">
        <v>121</v>
      </c>
    </row>
    <row r="96" spans="1:3" x14ac:dyDescent="0.25">
      <c r="A96">
        <v>96</v>
      </c>
      <c r="B96" s="68" t="s">
        <v>135</v>
      </c>
      <c r="C96" s="68" t="s">
        <v>136</v>
      </c>
    </row>
    <row r="97" spans="1:3" x14ac:dyDescent="0.25">
      <c r="A97">
        <v>97</v>
      </c>
      <c r="B97" s="66" t="s">
        <v>137</v>
      </c>
      <c r="C97" s="60" t="s">
        <v>136</v>
      </c>
    </row>
    <row r="98" spans="1:3" x14ac:dyDescent="0.25">
      <c r="A98">
        <v>98</v>
      </c>
      <c r="B98" s="63" t="s">
        <v>138</v>
      </c>
      <c r="C98" s="68" t="s">
        <v>136</v>
      </c>
    </row>
    <row r="99" spans="1:3" x14ac:dyDescent="0.25">
      <c r="A99">
        <v>99</v>
      </c>
      <c r="B99" s="61" t="s">
        <v>139</v>
      </c>
      <c r="C99" s="60" t="s">
        <v>136</v>
      </c>
    </row>
    <row r="100" spans="1:3" x14ac:dyDescent="0.25">
      <c r="A100">
        <v>100</v>
      </c>
      <c r="B100" s="68" t="s">
        <v>140</v>
      </c>
      <c r="C100" s="68" t="s">
        <v>136</v>
      </c>
    </row>
    <row r="101" spans="1:3" x14ac:dyDescent="0.25">
      <c r="A101">
        <v>101</v>
      </c>
      <c r="B101" s="66" t="s">
        <v>141</v>
      </c>
      <c r="C101" s="60" t="s">
        <v>136</v>
      </c>
    </row>
    <row r="102" spans="1:3" x14ac:dyDescent="0.25">
      <c r="A102">
        <v>102</v>
      </c>
      <c r="B102" s="64" t="s">
        <v>142</v>
      </c>
      <c r="C102" s="68" t="s">
        <v>136</v>
      </c>
    </row>
    <row r="103" spans="1:3" x14ac:dyDescent="0.25">
      <c r="A103">
        <v>103</v>
      </c>
      <c r="B103" s="61" t="s">
        <v>143</v>
      </c>
      <c r="C103" s="61" t="s">
        <v>144</v>
      </c>
    </row>
    <row r="104" spans="1:3" x14ac:dyDescent="0.25">
      <c r="A104">
        <v>104</v>
      </c>
      <c r="B104" s="68" t="s">
        <v>145</v>
      </c>
      <c r="C104" s="68" t="s">
        <v>146</v>
      </c>
    </row>
    <row r="105" spans="1:3" x14ac:dyDescent="0.25">
      <c r="A105">
        <v>105</v>
      </c>
      <c r="B105" s="60" t="s">
        <v>147</v>
      </c>
      <c r="C105" s="60" t="s">
        <v>148</v>
      </c>
    </row>
    <row r="106" spans="1:3" x14ac:dyDescent="0.25">
      <c r="A106">
        <v>106</v>
      </c>
      <c r="B106" s="62" t="s">
        <v>149</v>
      </c>
      <c r="C106" s="68" t="s">
        <v>148</v>
      </c>
    </row>
    <row r="107" spans="1:3" x14ac:dyDescent="0.25">
      <c r="A107">
        <v>107</v>
      </c>
      <c r="B107" s="67" t="s">
        <v>150</v>
      </c>
      <c r="C107" s="60" t="s">
        <v>148</v>
      </c>
    </row>
    <row r="108" spans="1:3" x14ac:dyDescent="0.25">
      <c r="A108">
        <v>108</v>
      </c>
      <c r="B108" s="64" t="s">
        <v>151</v>
      </c>
      <c r="C108" s="62" t="s">
        <v>152</v>
      </c>
    </row>
    <row r="109" spans="1:3" x14ac:dyDescent="0.25">
      <c r="A109">
        <v>109</v>
      </c>
      <c r="B109" s="67" t="s">
        <v>153</v>
      </c>
      <c r="C109" s="67" t="s">
        <v>154</v>
      </c>
    </row>
    <row r="110" spans="1:3" x14ac:dyDescent="0.25">
      <c r="A110">
        <v>110</v>
      </c>
      <c r="B110" s="64" t="s">
        <v>155</v>
      </c>
      <c r="C110" s="64" t="s">
        <v>156</v>
      </c>
    </row>
    <row r="111" spans="1:3" x14ac:dyDescent="0.25">
      <c r="A111">
        <v>111</v>
      </c>
      <c r="B111" s="66" t="s">
        <v>157</v>
      </c>
      <c r="C111" s="66" t="s">
        <v>156</v>
      </c>
    </row>
    <row r="112" spans="1:3" x14ac:dyDescent="0.25">
      <c r="A112">
        <v>112</v>
      </c>
      <c r="B112" s="64" t="s">
        <v>158</v>
      </c>
      <c r="C112" s="64" t="s">
        <v>159</v>
      </c>
    </row>
    <row r="113" spans="1:3" x14ac:dyDescent="0.25">
      <c r="A113">
        <v>113</v>
      </c>
      <c r="B113" s="66" t="s">
        <v>160</v>
      </c>
      <c r="C113" s="66" t="s">
        <v>161</v>
      </c>
    </row>
    <row r="114" spans="1:3" x14ac:dyDescent="0.25">
      <c r="A114">
        <v>114</v>
      </c>
      <c r="B114" s="64" t="s">
        <v>162</v>
      </c>
      <c r="C114" s="62" t="s">
        <v>163</v>
      </c>
    </row>
    <row r="115" spans="1:3" x14ac:dyDescent="0.25">
      <c r="A115">
        <v>115</v>
      </c>
      <c r="B115" s="61" t="s">
        <v>164</v>
      </c>
      <c r="C115" s="61" t="s">
        <v>165</v>
      </c>
    </row>
    <row r="116" spans="1:3" x14ac:dyDescent="0.25">
      <c r="A116">
        <v>116</v>
      </c>
      <c r="B116" s="63" t="s">
        <v>166</v>
      </c>
      <c r="C116" s="63" t="s">
        <v>167</v>
      </c>
    </row>
    <row r="117" spans="1:3" x14ac:dyDescent="0.25">
      <c r="A117">
        <v>117</v>
      </c>
      <c r="B117" s="74" t="s">
        <v>168</v>
      </c>
      <c r="C117" s="61" t="s">
        <v>167</v>
      </c>
    </row>
    <row r="118" spans="1:3" x14ac:dyDescent="0.25">
      <c r="A118">
        <v>118</v>
      </c>
      <c r="B118" s="63" t="s">
        <v>169</v>
      </c>
      <c r="C118" s="63" t="s">
        <v>170</v>
      </c>
    </row>
    <row r="119" spans="1:3" x14ac:dyDescent="0.25">
      <c r="A119">
        <v>119</v>
      </c>
      <c r="B119" s="61" t="s">
        <v>171</v>
      </c>
      <c r="C119" s="61" t="s">
        <v>170</v>
      </c>
    </row>
    <row r="120" spans="1:3" x14ac:dyDescent="0.25">
      <c r="A120">
        <v>120</v>
      </c>
      <c r="B120" s="63" t="s">
        <v>172</v>
      </c>
      <c r="C120" s="63" t="s">
        <v>170</v>
      </c>
    </row>
    <row r="121" spans="1:3" x14ac:dyDescent="0.25">
      <c r="A121">
        <v>121</v>
      </c>
      <c r="B121" s="61" t="s">
        <v>173</v>
      </c>
      <c r="C121" s="61" t="s">
        <v>174</v>
      </c>
    </row>
    <row r="122" spans="1:3" x14ac:dyDescent="0.25">
      <c r="A122">
        <v>122</v>
      </c>
      <c r="B122" s="62" t="s">
        <v>175</v>
      </c>
      <c r="C122" s="62" t="s">
        <v>176</v>
      </c>
    </row>
    <row r="123" spans="1:3" x14ac:dyDescent="0.25">
      <c r="A123">
        <v>123</v>
      </c>
      <c r="B123" s="60" t="s">
        <v>177</v>
      </c>
      <c r="C123" s="67" t="s">
        <v>176</v>
      </c>
    </row>
    <row r="124" spans="1:3" x14ac:dyDescent="0.25">
      <c r="A124">
        <v>124</v>
      </c>
      <c r="B124" s="63" t="s">
        <v>178</v>
      </c>
      <c r="C124" s="62" t="s">
        <v>176</v>
      </c>
    </row>
    <row r="125" spans="1:3" x14ac:dyDescent="0.25">
      <c r="A125">
        <v>125</v>
      </c>
      <c r="B125" s="66" t="s">
        <v>179</v>
      </c>
      <c r="C125" s="66" t="s">
        <v>180</v>
      </c>
    </row>
    <row r="126" spans="1:3" x14ac:dyDescent="0.25">
      <c r="A126">
        <v>126</v>
      </c>
      <c r="B126" s="68" t="s">
        <v>181</v>
      </c>
      <c r="C126" s="64" t="s">
        <v>180</v>
      </c>
    </row>
    <row r="127" spans="1:3" x14ac:dyDescent="0.25">
      <c r="A127">
        <v>127</v>
      </c>
      <c r="B127" s="66" t="s">
        <v>182</v>
      </c>
      <c r="C127" s="66" t="s">
        <v>183</v>
      </c>
    </row>
    <row r="128" spans="1:3" x14ac:dyDescent="0.25">
      <c r="A128">
        <v>128</v>
      </c>
      <c r="B128" s="68" t="s">
        <v>184</v>
      </c>
      <c r="C128" s="64" t="s">
        <v>183</v>
      </c>
    </row>
    <row r="129" spans="1:3" x14ac:dyDescent="0.25">
      <c r="A129">
        <v>129</v>
      </c>
      <c r="B129" s="60" t="s">
        <v>185</v>
      </c>
      <c r="C129" s="66" t="s">
        <v>183</v>
      </c>
    </row>
    <row r="130" spans="1:3" x14ac:dyDescent="0.25">
      <c r="A130">
        <v>130</v>
      </c>
      <c r="B130" s="64" t="s">
        <v>186</v>
      </c>
      <c r="C130" s="64" t="s">
        <v>183</v>
      </c>
    </row>
    <row r="131" spans="1:3" x14ac:dyDescent="0.25">
      <c r="A131">
        <v>131</v>
      </c>
      <c r="B131" s="67" t="s">
        <v>187</v>
      </c>
      <c r="C131" s="66" t="s">
        <v>183</v>
      </c>
    </row>
    <row r="132" spans="1:3" x14ac:dyDescent="0.25">
      <c r="A132">
        <v>132</v>
      </c>
      <c r="B132" s="64" t="s">
        <v>188</v>
      </c>
      <c r="C132" s="64" t="s">
        <v>183</v>
      </c>
    </row>
    <row r="133" spans="1:3" x14ac:dyDescent="0.25">
      <c r="A133">
        <v>133</v>
      </c>
      <c r="B133" s="61" t="s">
        <v>189</v>
      </c>
      <c r="C133" s="66" t="s">
        <v>183</v>
      </c>
    </row>
    <row r="134" spans="1:3" x14ac:dyDescent="0.25">
      <c r="A134">
        <v>134</v>
      </c>
      <c r="B134" s="63" t="s">
        <v>190</v>
      </c>
      <c r="C134" s="64" t="s">
        <v>183</v>
      </c>
    </row>
    <row r="135" spans="1:3" x14ac:dyDescent="0.25">
      <c r="A135">
        <v>135</v>
      </c>
      <c r="B135" s="61" t="s">
        <v>191</v>
      </c>
      <c r="C135" s="61" t="s">
        <v>192</v>
      </c>
    </row>
    <row r="136" spans="1:3" x14ac:dyDescent="0.25">
      <c r="A136">
        <v>136</v>
      </c>
      <c r="B136" s="63" t="s">
        <v>193</v>
      </c>
      <c r="C136" s="63" t="s">
        <v>192</v>
      </c>
    </row>
    <row r="137" spans="1:3" x14ac:dyDescent="0.25">
      <c r="A137">
        <v>137</v>
      </c>
      <c r="B137" s="61" t="s">
        <v>194</v>
      </c>
      <c r="C137" s="61" t="s">
        <v>192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0F95-12B2-41C9-AED6-ABA992ADBDD6}">
  <sheetPr>
    <pageSetUpPr fitToPage="1"/>
  </sheetPr>
  <dimension ref="A1:L157"/>
  <sheetViews>
    <sheetView showGridLines="0" tabSelected="1" view="pageBreakPreview" topLeftCell="A41" zoomScaleNormal="70" zoomScaleSheetLayoutView="100" workbookViewId="0">
      <selection activeCell="F61" sqref="F61"/>
    </sheetView>
  </sheetViews>
  <sheetFormatPr defaultRowHeight="12.75" x14ac:dyDescent="0.2"/>
  <cols>
    <col min="1" max="1" width="1.7109375" style="4" customWidth="1"/>
    <col min="2" max="2" width="2.7109375" style="4" customWidth="1"/>
    <col min="3" max="3" width="11.28515625" style="4" customWidth="1"/>
    <col min="4" max="4" width="9.140625" style="4"/>
    <col min="5" max="5" width="18.28515625" style="4" customWidth="1"/>
    <col min="6" max="6" width="24.42578125" style="4" customWidth="1"/>
    <col min="7" max="7" width="14.7109375" style="78" customWidth="1"/>
    <col min="8" max="9" width="14.7109375" style="4" customWidth="1"/>
    <col min="10" max="10" width="17" style="78" customWidth="1"/>
    <col min="11" max="11" width="2.7109375" style="4" customWidth="1"/>
    <col min="12" max="12" width="1.7109375" style="4" customWidth="1"/>
    <col min="13" max="13" width="2.7109375" style="4" customWidth="1"/>
    <col min="14" max="14" width="9.140625" style="4"/>
    <col min="15" max="15" width="19" style="4" customWidth="1"/>
    <col min="16" max="256" width="9.140625" style="4"/>
    <col min="257" max="257" width="2.7109375" style="4" customWidth="1"/>
    <col min="258" max="261" width="9.140625" style="4"/>
    <col min="262" max="262" width="12.85546875" style="4" customWidth="1"/>
    <col min="263" max="264" width="9.140625" style="4"/>
    <col min="265" max="265" width="13.28515625" style="4" customWidth="1"/>
    <col min="266" max="266" width="16.42578125" style="4" bestFit="1" customWidth="1"/>
    <col min="267" max="267" width="2.7109375" style="4" customWidth="1"/>
    <col min="268" max="268" width="15.7109375" style="4" customWidth="1"/>
    <col min="269" max="269" width="2.7109375" style="4" customWidth="1"/>
    <col min="270" max="512" width="9.140625" style="4"/>
    <col min="513" max="513" width="2.7109375" style="4" customWidth="1"/>
    <col min="514" max="517" width="9.140625" style="4"/>
    <col min="518" max="518" width="12.85546875" style="4" customWidth="1"/>
    <col min="519" max="520" width="9.140625" style="4"/>
    <col min="521" max="521" width="13.28515625" style="4" customWidth="1"/>
    <col min="522" max="522" width="16.42578125" style="4" bestFit="1" customWidth="1"/>
    <col min="523" max="523" width="2.7109375" style="4" customWidth="1"/>
    <col min="524" max="524" width="15.7109375" style="4" customWidth="1"/>
    <col min="525" max="525" width="2.7109375" style="4" customWidth="1"/>
    <col min="526" max="768" width="9.140625" style="4"/>
    <col min="769" max="769" width="2.7109375" style="4" customWidth="1"/>
    <col min="770" max="773" width="9.140625" style="4"/>
    <col min="774" max="774" width="12.85546875" style="4" customWidth="1"/>
    <col min="775" max="776" width="9.140625" style="4"/>
    <col min="777" max="777" width="13.28515625" style="4" customWidth="1"/>
    <col min="778" max="778" width="16.42578125" style="4" bestFit="1" customWidth="1"/>
    <col min="779" max="779" width="2.7109375" style="4" customWidth="1"/>
    <col min="780" max="780" width="15.7109375" style="4" customWidth="1"/>
    <col min="781" max="781" width="2.7109375" style="4" customWidth="1"/>
    <col min="782" max="1024" width="9.140625" style="4"/>
    <col min="1025" max="1025" width="2.7109375" style="4" customWidth="1"/>
    <col min="1026" max="1029" width="9.140625" style="4"/>
    <col min="1030" max="1030" width="12.85546875" style="4" customWidth="1"/>
    <col min="1031" max="1032" width="9.140625" style="4"/>
    <col min="1033" max="1033" width="13.28515625" style="4" customWidth="1"/>
    <col min="1034" max="1034" width="16.42578125" style="4" bestFit="1" customWidth="1"/>
    <col min="1035" max="1035" width="2.7109375" style="4" customWidth="1"/>
    <col min="1036" max="1036" width="15.7109375" style="4" customWidth="1"/>
    <col min="1037" max="1037" width="2.7109375" style="4" customWidth="1"/>
    <col min="1038" max="1280" width="9.140625" style="4"/>
    <col min="1281" max="1281" width="2.7109375" style="4" customWidth="1"/>
    <col min="1282" max="1285" width="9.140625" style="4"/>
    <col min="1286" max="1286" width="12.85546875" style="4" customWidth="1"/>
    <col min="1287" max="1288" width="9.140625" style="4"/>
    <col min="1289" max="1289" width="13.28515625" style="4" customWidth="1"/>
    <col min="1290" max="1290" width="16.42578125" style="4" bestFit="1" customWidth="1"/>
    <col min="1291" max="1291" width="2.7109375" style="4" customWidth="1"/>
    <col min="1292" max="1292" width="15.7109375" style="4" customWidth="1"/>
    <col min="1293" max="1293" width="2.7109375" style="4" customWidth="1"/>
    <col min="1294" max="1536" width="9.140625" style="4"/>
    <col min="1537" max="1537" width="2.7109375" style="4" customWidth="1"/>
    <col min="1538" max="1541" width="9.140625" style="4"/>
    <col min="1542" max="1542" width="12.85546875" style="4" customWidth="1"/>
    <col min="1543" max="1544" width="9.140625" style="4"/>
    <col min="1545" max="1545" width="13.28515625" style="4" customWidth="1"/>
    <col min="1546" max="1546" width="16.42578125" style="4" bestFit="1" customWidth="1"/>
    <col min="1547" max="1547" width="2.7109375" style="4" customWidth="1"/>
    <col min="1548" max="1548" width="15.7109375" style="4" customWidth="1"/>
    <col min="1549" max="1549" width="2.7109375" style="4" customWidth="1"/>
    <col min="1550" max="1792" width="9.140625" style="4"/>
    <col min="1793" max="1793" width="2.7109375" style="4" customWidth="1"/>
    <col min="1794" max="1797" width="9.140625" style="4"/>
    <col min="1798" max="1798" width="12.85546875" style="4" customWidth="1"/>
    <col min="1799" max="1800" width="9.140625" style="4"/>
    <col min="1801" max="1801" width="13.28515625" style="4" customWidth="1"/>
    <col min="1802" max="1802" width="16.42578125" style="4" bestFit="1" customWidth="1"/>
    <col min="1803" max="1803" width="2.7109375" style="4" customWidth="1"/>
    <col min="1804" max="1804" width="15.7109375" style="4" customWidth="1"/>
    <col min="1805" max="1805" width="2.7109375" style="4" customWidth="1"/>
    <col min="1806" max="2048" width="9.140625" style="4"/>
    <col min="2049" max="2049" width="2.7109375" style="4" customWidth="1"/>
    <col min="2050" max="2053" width="9.140625" style="4"/>
    <col min="2054" max="2054" width="12.85546875" style="4" customWidth="1"/>
    <col min="2055" max="2056" width="9.140625" style="4"/>
    <col min="2057" max="2057" width="13.28515625" style="4" customWidth="1"/>
    <col min="2058" max="2058" width="16.42578125" style="4" bestFit="1" customWidth="1"/>
    <col min="2059" max="2059" width="2.7109375" style="4" customWidth="1"/>
    <col min="2060" max="2060" width="15.7109375" style="4" customWidth="1"/>
    <col min="2061" max="2061" width="2.7109375" style="4" customWidth="1"/>
    <col min="2062" max="2304" width="9.140625" style="4"/>
    <col min="2305" max="2305" width="2.7109375" style="4" customWidth="1"/>
    <col min="2306" max="2309" width="9.140625" style="4"/>
    <col min="2310" max="2310" width="12.85546875" style="4" customWidth="1"/>
    <col min="2311" max="2312" width="9.140625" style="4"/>
    <col min="2313" max="2313" width="13.28515625" style="4" customWidth="1"/>
    <col min="2314" max="2314" width="16.42578125" style="4" bestFit="1" customWidth="1"/>
    <col min="2315" max="2315" width="2.7109375" style="4" customWidth="1"/>
    <col min="2316" max="2316" width="15.7109375" style="4" customWidth="1"/>
    <col min="2317" max="2317" width="2.7109375" style="4" customWidth="1"/>
    <col min="2318" max="2560" width="9.140625" style="4"/>
    <col min="2561" max="2561" width="2.7109375" style="4" customWidth="1"/>
    <col min="2562" max="2565" width="9.140625" style="4"/>
    <col min="2566" max="2566" width="12.85546875" style="4" customWidth="1"/>
    <col min="2567" max="2568" width="9.140625" style="4"/>
    <col min="2569" max="2569" width="13.28515625" style="4" customWidth="1"/>
    <col min="2570" max="2570" width="16.42578125" style="4" bestFit="1" customWidth="1"/>
    <col min="2571" max="2571" width="2.7109375" style="4" customWidth="1"/>
    <col min="2572" max="2572" width="15.7109375" style="4" customWidth="1"/>
    <col min="2573" max="2573" width="2.7109375" style="4" customWidth="1"/>
    <col min="2574" max="2816" width="9.140625" style="4"/>
    <col min="2817" max="2817" width="2.7109375" style="4" customWidth="1"/>
    <col min="2818" max="2821" width="9.140625" style="4"/>
    <col min="2822" max="2822" width="12.85546875" style="4" customWidth="1"/>
    <col min="2823" max="2824" width="9.140625" style="4"/>
    <col min="2825" max="2825" width="13.28515625" style="4" customWidth="1"/>
    <col min="2826" max="2826" width="16.42578125" style="4" bestFit="1" customWidth="1"/>
    <col min="2827" max="2827" width="2.7109375" style="4" customWidth="1"/>
    <col min="2828" max="2828" width="15.7109375" style="4" customWidth="1"/>
    <col min="2829" max="2829" width="2.7109375" style="4" customWidth="1"/>
    <col min="2830" max="3072" width="9.140625" style="4"/>
    <col min="3073" max="3073" width="2.7109375" style="4" customWidth="1"/>
    <col min="3074" max="3077" width="9.140625" style="4"/>
    <col min="3078" max="3078" width="12.85546875" style="4" customWidth="1"/>
    <col min="3079" max="3080" width="9.140625" style="4"/>
    <col min="3081" max="3081" width="13.28515625" style="4" customWidth="1"/>
    <col min="3082" max="3082" width="16.42578125" style="4" bestFit="1" customWidth="1"/>
    <col min="3083" max="3083" width="2.7109375" style="4" customWidth="1"/>
    <col min="3084" max="3084" width="15.7109375" style="4" customWidth="1"/>
    <col min="3085" max="3085" width="2.7109375" style="4" customWidth="1"/>
    <col min="3086" max="3328" width="9.140625" style="4"/>
    <col min="3329" max="3329" width="2.7109375" style="4" customWidth="1"/>
    <col min="3330" max="3333" width="9.140625" style="4"/>
    <col min="3334" max="3334" width="12.85546875" style="4" customWidth="1"/>
    <col min="3335" max="3336" width="9.140625" style="4"/>
    <col min="3337" max="3337" width="13.28515625" style="4" customWidth="1"/>
    <col min="3338" max="3338" width="16.42578125" style="4" bestFit="1" customWidth="1"/>
    <col min="3339" max="3339" width="2.7109375" style="4" customWidth="1"/>
    <col min="3340" max="3340" width="15.7109375" style="4" customWidth="1"/>
    <col min="3341" max="3341" width="2.7109375" style="4" customWidth="1"/>
    <col min="3342" max="3584" width="9.140625" style="4"/>
    <col min="3585" max="3585" width="2.7109375" style="4" customWidth="1"/>
    <col min="3586" max="3589" width="9.140625" style="4"/>
    <col min="3590" max="3590" width="12.85546875" style="4" customWidth="1"/>
    <col min="3591" max="3592" width="9.140625" style="4"/>
    <col min="3593" max="3593" width="13.28515625" style="4" customWidth="1"/>
    <col min="3594" max="3594" width="16.42578125" style="4" bestFit="1" customWidth="1"/>
    <col min="3595" max="3595" width="2.7109375" style="4" customWidth="1"/>
    <col min="3596" max="3596" width="15.7109375" style="4" customWidth="1"/>
    <col min="3597" max="3597" width="2.7109375" style="4" customWidth="1"/>
    <col min="3598" max="3840" width="9.140625" style="4"/>
    <col min="3841" max="3841" width="2.7109375" style="4" customWidth="1"/>
    <col min="3842" max="3845" width="9.140625" style="4"/>
    <col min="3846" max="3846" width="12.85546875" style="4" customWidth="1"/>
    <col min="3847" max="3848" width="9.140625" style="4"/>
    <col min="3849" max="3849" width="13.28515625" style="4" customWidth="1"/>
    <col min="3850" max="3850" width="16.42578125" style="4" bestFit="1" customWidth="1"/>
    <col min="3851" max="3851" width="2.7109375" style="4" customWidth="1"/>
    <col min="3852" max="3852" width="15.7109375" style="4" customWidth="1"/>
    <col min="3853" max="3853" width="2.7109375" style="4" customWidth="1"/>
    <col min="3854" max="4096" width="9.140625" style="4"/>
    <col min="4097" max="4097" width="2.7109375" style="4" customWidth="1"/>
    <col min="4098" max="4101" width="9.140625" style="4"/>
    <col min="4102" max="4102" width="12.85546875" style="4" customWidth="1"/>
    <col min="4103" max="4104" width="9.140625" style="4"/>
    <col min="4105" max="4105" width="13.28515625" style="4" customWidth="1"/>
    <col min="4106" max="4106" width="16.42578125" style="4" bestFit="1" customWidth="1"/>
    <col min="4107" max="4107" width="2.7109375" style="4" customWidth="1"/>
    <col min="4108" max="4108" width="15.7109375" style="4" customWidth="1"/>
    <col min="4109" max="4109" width="2.7109375" style="4" customWidth="1"/>
    <col min="4110" max="4352" width="9.140625" style="4"/>
    <col min="4353" max="4353" width="2.7109375" style="4" customWidth="1"/>
    <col min="4354" max="4357" width="9.140625" style="4"/>
    <col min="4358" max="4358" width="12.85546875" style="4" customWidth="1"/>
    <col min="4359" max="4360" width="9.140625" style="4"/>
    <col min="4361" max="4361" width="13.28515625" style="4" customWidth="1"/>
    <col min="4362" max="4362" width="16.42578125" style="4" bestFit="1" customWidth="1"/>
    <col min="4363" max="4363" width="2.7109375" style="4" customWidth="1"/>
    <col min="4364" max="4364" width="15.7109375" style="4" customWidth="1"/>
    <col min="4365" max="4365" width="2.7109375" style="4" customWidth="1"/>
    <col min="4366" max="4608" width="9.140625" style="4"/>
    <col min="4609" max="4609" width="2.7109375" style="4" customWidth="1"/>
    <col min="4610" max="4613" width="9.140625" style="4"/>
    <col min="4614" max="4614" width="12.85546875" style="4" customWidth="1"/>
    <col min="4615" max="4616" width="9.140625" style="4"/>
    <col min="4617" max="4617" width="13.28515625" style="4" customWidth="1"/>
    <col min="4618" max="4618" width="16.42578125" style="4" bestFit="1" customWidth="1"/>
    <col min="4619" max="4619" width="2.7109375" style="4" customWidth="1"/>
    <col min="4620" max="4620" width="15.7109375" style="4" customWidth="1"/>
    <col min="4621" max="4621" width="2.7109375" style="4" customWidth="1"/>
    <col min="4622" max="4864" width="9.140625" style="4"/>
    <col min="4865" max="4865" width="2.7109375" style="4" customWidth="1"/>
    <col min="4866" max="4869" width="9.140625" style="4"/>
    <col min="4870" max="4870" width="12.85546875" style="4" customWidth="1"/>
    <col min="4871" max="4872" width="9.140625" style="4"/>
    <col min="4873" max="4873" width="13.28515625" style="4" customWidth="1"/>
    <col min="4874" max="4874" width="16.42578125" style="4" bestFit="1" customWidth="1"/>
    <col min="4875" max="4875" width="2.7109375" style="4" customWidth="1"/>
    <col min="4876" max="4876" width="15.7109375" style="4" customWidth="1"/>
    <col min="4877" max="4877" width="2.7109375" style="4" customWidth="1"/>
    <col min="4878" max="5120" width="9.140625" style="4"/>
    <col min="5121" max="5121" width="2.7109375" style="4" customWidth="1"/>
    <col min="5122" max="5125" width="9.140625" style="4"/>
    <col min="5126" max="5126" width="12.85546875" style="4" customWidth="1"/>
    <col min="5127" max="5128" width="9.140625" style="4"/>
    <col min="5129" max="5129" width="13.28515625" style="4" customWidth="1"/>
    <col min="5130" max="5130" width="16.42578125" style="4" bestFit="1" customWidth="1"/>
    <col min="5131" max="5131" width="2.7109375" style="4" customWidth="1"/>
    <col min="5132" max="5132" width="15.7109375" style="4" customWidth="1"/>
    <col min="5133" max="5133" width="2.7109375" style="4" customWidth="1"/>
    <col min="5134" max="5376" width="9.140625" style="4"/>
    <col min="5377" max="5377" width="2.7109375" style="4" customWidth="1"/>
    <col min="5378" max="5381" width="9.140625" style="4"/>
    <col min="5382" max="5382" width="12.85546875" style="4" customWidth="1"/>
    <col min="5383" max="5384" width="9.140625" style="4"/>
    <col min="5385" max="5385" width="13.28515625" style="4" customWidth="1"/>
    <col min="5386" max="5386" width="16.42578125" style="4" bestFit="1" customWidth="1"/>
    <col min="5387" max="5387" width="2.7109375" style="4" customWidth="1"/>
    <col min="5388" max="5388" width="15.7109375" style="4" customWidth="1"/>
    <col min="5389" max="5389" width="2.7109375" style="4" customWidth="1"/>
    <col min="5390" max="5632" width="9.140625" style="4"/>
    <col min="5633" max="5633" width="2.7109375" style="4" customWidth="1"/>
    <col min="5634" max="5637" width="9.140625" style="4"/>
    <col min="5638" max="5638" width="12.85546875" style="4" customWidth="1"/>
    <col min="5639" max="5640" width="9.140625" style="4"/>
    <col min="5641" max="5641" width="13.28515625" style="4" customWidth="1"/>
    <col min="5642" max="5642" width="16.42578125" style="4" bestFit="1" customWidth="1"/>
    <col min="5643" max="5643" width="2.7109375" style="4" customWidth="1"/>
    <col min="5644" max="5644" width="15.7109375" style="4" customWidth="1"/>
    <col min="5645" max="5645" width="2.7109375" style="4" customWidth="1"/>
    <col min="5646" max="5888" width="9.140625" style="4"/>
    <col min="5889" max="5889" width="2.7109375" style="4" customWidth="1"/>
    <col min="5890" max="5893" width="9.140625" style="4"/>
    <col min="5894" max="5894" width="12.85546875" style="4" customWidth="1"/>
    <col min="5895" max="5896" width="9.140625" style="4"/>
    <col min="5897" max="5897" width="13.28515625" style="4" customWidth="1"/>
    <col min="5898" max="5898" width="16.42578125" style="4" bestFit="1" customWidth="1"/>
    <col min="5899" max="5899" width="2.7109375" style="4" customWidth="1"/>
    <col min="5900" max="5900" width="15.7109375" style="4" customWidth="1"/>
    <col min="5901" max="5901" width="2.7109375" style="4" customWidth="1"/>
    <col min="5902" max="6144" width="9.140625" style="4"/>
    <col min="6145" max="6145" width="2.7109375" style="4" customWidth="1"/>
    <col min="6146" max="6149" width="9.140625" style="4"/>
    <col min="6150" max="6150" width="12.85546875" style="4" customWidth="1"/>
    <col min="6151" max="6152" width="9.140625" style="4"/>
    <col min="6153" max="6153" width="13.28515625" style="4" customWidth="1"/>
    <col min="6154" max="6154" width="16.42578125" style="4" bestFit="1" customWidth="1"/>
    <col min="6155" max="6155" width="2.7109375" style="4" customWidth="1"/>
    <col min="6156" max="6156" width="15.7109375" style="4" customWidth="1"/>
    <col min="6157" max="6157" width="2.7109375" style="4" customWidth="1"/>
    <col min="6158" max="6400" width="9.140625" style="4"/>
    <col min="6401" max="6401" width="2.7109375" style="4" customWidth="1"/>
    <col min="6402" max="6405" width="9.140625" style="4"/>
    <col min="6406" max="6406" width="12.85546875" style="4" customWidth="1"/>
    <col min="6407" max="6408" width="9.140625" style="4"/>
    <col min="6409" max="6409" width="13.28515625" style="4" customWidth="1"/>
    <col min="6410" max="6410" width="16.42578125" style="4" bestFit="1" customWidth="1"/>
    <col min="6411" max="6411" width="2.7109375" style="4" customWidth="1"/>
    <col min="6412" max="6412" width="15.7109375" style="4" customWidth="1"/>
    <col min="6413" max="6413" width="2.7109375" style="4" customWidth="1"/>
    <col min="6414" max="6656" width="9.140625" style="4"/>
    <col min="6657" max="6657" width="2.7109375" style="4" customWidth="1"/>
    <col min="6658" max="6661" width="9.140625" style="4"/>
    <col min="6662" max="6662" width="12.85546875" style="4" customWidth="1"/>
    <col min="6663" max="6664" width="9.140625" style="4"/>
    <col min="6665" max="6665" width="13.28515625" style="4" customWidth="1"/>
    <col min="6666" max="6666" width="16.42578125" style="4" bestFit="1" customWidth="1"/>
    <col min="6667" max="6667" width="2.7109375" style="4" customWidth="1"/>
    <col min="6668" max="6668" width="15.7109375" style="4" customWidth="1"/>
    <col min="6669" max="6669" width="2.7109375" style="4" customWidth="1"/>
    <col min="6670" max="6912" width="9.140625" style="4"/>
    <col min="6913" max="6913" width="2.7109375" style="4" customWidth="1"/>
    <col min="6914" max="6917" width="9.140625" style="4"/>
    <col min="6918" max="6918" width="12.85546875" style="4" customWidth="1"/>
    <col min="6919" max="6920" width="9.140625" style="4"/>
    <col min="6921" max="6921" width="13.28515625" style="4" customWidth="1"/>
    <col min="6922" max="6922" width="16.42578125" style="4" bestFit="1" customWidth="1"/>
    <col min="6923" max="6923" width="2.7109375" style="4" customWidth="1"/>
    <col min="6924" max="6924" width="15.7109375" style="4" customWidth="1"/>
    <col min="6925" max="6925" width="2.7109375" style="4" customWidth="1"/>
    <col min="6926" max="7168" width="9.140625" style="4"/>
    <col min="7169" max="7169" width="2.7109375" style="4" customWidth="1"/>
    <col min="7170" max="7173" width="9.140625" style="4"/>
    <col min="7174" max="7174" width="12.85546875" style="4" customWidth="1"/>
    <col min="7175" max="7176" width="9.140625" style="4"/>
    <col min="7177" max="7177" width="13.28515625" style="4" customWidth="1"/>
    <col min="7178" max="7178" width="16.42578125" style="4" bestFit="1" customWidth="1"/>
    <col min="7179" max="7179" width="2.7109375" style="4" customWidth="1"/>
    <col min="7180" max="7180" width="15.7109375" style="4" customWidth="1"/>
    <col min="7181" max="7181" width="2.7109375" style="4" customWidth="1"/>
    <col min="7182" max="7424" width="9.140625" style="4"/>
    <col min="7425" max="7425" width="2.7109375" style="4" customWidth="1"/>
    <col min="7426" max="7429" width="9.140625" style="4"/>
    <col min="7430" max="7430" width="12.85546875" style="4" customWidth="1"/>
    <col min="7431" max="7432" width="9.140625" style="4"/>
    <col min="7433" max="7433" width="13.28515625" style="4" customWidth="1"/>
    <col min="7434" max="7434" width="16.42578125" style="4" bestFit="1" customWidth="1"/>
    <col min="7435" max="7435" width="2.7109375" style="4" customWidth="1"/>
    <col min="7436" max="7436" width="15.7109375" style="4" customWidth="1"/>
    <col min="7437" max="7437" width="2.7109375" style="4" customWidth="1"/>
    <col min="7438" max="7680" width="9.140625" style="4"/>
    <col min="7681" max="7681" width="2.7109375" style="4" customWidth="1"/>
    <col min="7682" max="7685" width="9.140625" style="4"/>
    <col min="7686" max="7686" width="12.85546875" style="4" customWidth="1"/>
    <col min="7687" max="7688" width="9.140625" style="4"/>
    <col min="7689" max="7689" width="13.28515625" style="4" customWidth="1"/>
    <col min="7690" max="7690" width="16.42578125" style="4" bestFit="1" customWidth="1"/>
    <col min="7691" max="7691" width="2.7109375" style="4" customWidth="1"/>
    <col min="7692" max="7692" width="15.7109375" style="4" customWidth="1"/>
    <col min="7693" max="7693" width="2.7109375" style="4" customWidth="1"/>
    <col min="7694" max="7936" width="9.140625" style="4"/>
    <col min="7937" max="7937" width="2.7109375" style="4" customWidth="1"/>
    <col min="7938" max="7941" width="9.140625" style="4"/>
    <col min="7942" max="7942" width="12.85546875" style="4" customWidth="1"/>
    <col min="7943" max="7944" width="9.140625" style="4"/>
    <col min="7945" max="7945" width="13.28515625" style="4" customWidth="1"/>
    <col min="7946" max="7946" width="16.42578125" style="4" bestFit="1" customWidth="1"/>
    <col min="7947" max="7947" width="2.7109375" style="4" customWidth="1"/>
    <col min="7948" max="7948" width="15.7109375" style="4" customWidth="1"/>
    <col min="7949" max="7949" width="2.7109375" style="4" customWidth="1"/>
    <col min="7950" max="8192" width="9.140625" style="4"/>
    <col min="8193" max="8193" width="2.7109375" style="4" customWidth="1"/>
    <col min="8194" max="8197" width="9.140625" style="4"/>
    <col min="8198" max="8198" width="12.85546875" style="4" customWidth="1"/>
    <col min="8199" max="8200" width="9.140625" style="4"/>
    <col min="8201" max="8201" width="13.28515625" style="4" customWidth="1"/>
    <col min="8202" max="8202" width="16.42578125" style="4" bestFit="1" customWidth="1"/>
    <col min="8203" max="8203" width="2.7109375" style="4" customWidth="1"/>
    <col min="8204" max="8204" width="15.7109375" style="4" customWidth="1"/>
    <col min="8205" max="8205" width="2.7109375" style="4" customWidth="1"/>
    <col min="8206" max="8448" width="9.140625" style="4"/>
    <col min="8449" max="8449" width="2.7109375" style="4" customWidth="1"/>
    <col min="8450" max="8453" width="9.140625" style="4"/>
    <col min="8454" max="8454" width="12.85546875" style="4" customWidth="1"/>
    <col min="8455" max="8456" width="9.140625" style="4"/>
    <col min="8457" max="8457" width="13.28515625" style="4" customWidth="1"/>
    <col min="8458" max="8458" width="16.42578125" style="4" bestFit="1" customWidth="1"/>
    <col min="8459" max="8459" width="2.7109375" style="4" customWidth="1"/>
    <col min="8460" max="8460" width="15.7109375" style="4" customWidth="1"/>
    <col min="8461" max="8461" width="2.7109375" style="4" customWidth="1"/>
    <col min="8462" max="8704" width="9.140625" style="4"/>
    <col min="8705" max="8705" width="2.7109375" style="4" customWidth="1"/>
    <col min="8706" max="8709" width="9.140625" style="4"/>
    <col min="8710" max="8710" width="12.85546875" style="4" customWidth="1"/>
    <col min="8711" max="8712" width="9.140625" style="4"/>
    <col min="8713" max="8713" width="13.28515625" style="4" customWidth="1"/>
    <col min="8714" max="8714" width="16.42578125" style="4" bestFit="1" customWidth="1"/>
    <col min="8715" max="8715" width="2.7109375" style="4" customWidth="1"/>
    <col min="8716" max="8716" width="15.7109375" style="4" customWidth="1"/>
    <col min="8717" max="8717" width="2.7109375" style="4" customWidth="1"/>
    <col min="8718" max="8960" width="9.140625" style="4"/>
    <col min="8961" max="8961" width="2.7109375" style="4" customWidth="1"/>
    <col min="8962" max="8965" width="9.140625" style="4"/>
    <col min="8966" max="8966" width="12.85546875" style="4" customWidth="1"/>
    <col min="8967" max="8968" width="9.140625" style="4"/>
    <col min="8969" max="8969" width="13.28515625" style="4" customWidth="1"/>
    <col min="8970" max="8970" width="16.42578125" style="4" bestFit="1" customWidth="1"/>
    <col min="8971" max="8971" width="2.7109375" style="4" customWidth="1"/>
    <col min="8972" max="8972" width="15.7109375" style="4" customWidth="1"/>
    <col min="8973" max="8973" width="2.7109375" style="4" customWidth="1"/>
    <col min="8974" max="9216" width="9.140625" style="4"/>
    <col min="9217" max="9217" width="2.7109375" style="4" customWidth="1"/>
    <col min="9218" max="9221" width="9.140625" style="4"/>
    <col min="9222" max="9222" width="12.85546875" style="4" customWidth="1"/>
    <col min="9223" max="9224" width="9.140625" style="4"/>
    <col min="9225" max="9225" width="13.28515625" style="4" customWidth="1"/>
    <col min="9226" max="9226" width="16.42578125" style="4" bestFit="1" customWidth="1"/>
    <col min="9227" max="9227" width="2.7109375" style="4" customWidth="1"/>
    <col min="9228" max="9228" width="15.7109375" style="4" customWidth="1"/>
    <col min="9229" max="9229" width="2.7109375" style="4" customWidth="1"/>
    <col min="9230" max="9472" width="9.140625" style="4"/>
    <col min="9473" max="9473" width="2.7109375" style="4" customWidth="1"/>
    <col min="9474" max="9477" width="9.140625" style="4"/>
    <col min="9478" max="9478" width="12.85546875" style="4" customWidth="1"/>
    <col min="9479" max="9480" width="9.140625" style="4"/>
    <col min="9481" max="9481" width="13.28515625" style="4" customWidth="1"/>
    <col min="9482" max="9482" width="16.42578125" style="4" bestFit="1" customWidth="1"/>
    <col min="9483" max="9483" width="2.7109375" style="4" customWidth="1"/>
    <col min="9484" max="9484" width="15.7109375" style="4" customWidth="1"/>
    <col min="9485" max="9485" width="2.7109375" style="4" customWidth="1"/>
    <col min="9486" max="9728" width="9.140625" style="4"/>
    <col min="9729" max="9729" width="2.7109375" style="4" customWidth="1"/>
    <col min="9730" max="9733" width="9.140625" style="4"/>
    <col min="9734" max="9734" width="12.85546875" style="4" customWidth="1"/>
    <col min="9735" max="9736" width="9.140625" style="4"/>
    <col min="9737" max="9737" width="13.28515625" style="4" customWidth="1"/>
    <col min="9738" max="9738" width="16.42578125" style="4" bestFit="1" customWidth="1"/>
    <col min="9739" max="9739" width="2.7109375" style="4" customWidth="1"/>
    <col min="9740" max="9740" width="15.7109375" style="4" customWidth="1"/>
    <col min="9741" max="9741" width="2.7109375" style="4" customWidth="1"/>
    <col min="9742" max="9984" width="9.140625" style="4"/>
    <col min="9985" max="9985" width="2.7109375" style="4" customWidth="1"/>
    <col min="9986" max="9989" width="9.140625" style="4"/>
    <col min="9990" max="9990" width="12.85546875" style="4" customWidth="1"/>
    <col min="9991" max="9992" width="9.140625" style="4"/>
    <col min="9993" max="9993" width="13.28515625" style="4" customWidth="1"/>
    <col min="9994" max="9994" width="16.42578125" style="4" bestFit="1" customWidth="1"/>
    <col min="9995" max="9995" width="2.7109375" style="4" customWidth="1"/>
    <col min="9996" max="9996" width="15.7109375" style="4" customWidth="1"/>
    <col min="9997" max="9997" width="2.7109375" style="4" customWidth="1"/>
    <col min="9998" max="10240" width="9.140625" style="4"/>
    <col min="10241" max="10241" width="2.7109375" style="4" customWidth="1"/>
    <col min="10242" max="10245" width="9.140625" style="4"/>
    <col min="10246" max="10246" width="12.85546875" style="4" customWidth="1"/>
    <col min="10247" max="10248" width="9.140625" style="4"/>
    <col min="10249" max="10249" width="13.28515625" style="4" customWidth="1"/>
    <col min="10250" max="10250" width="16.42578125" style="4" bestFit="1" customWidth="1"/>
    <col min="10251" max="10251" width="2.7109375" style="4" customWidth="1"/>
    <col min="10252" max="10252" width="15.7109375" style="4" customWidth="1"/>
    <col min="10253" max="10253" width="2.7109375" style="4" customWidth="1"/>
    <col min="10254" max="10496" width="9.140625" style="4"/>
    <col min="10497" max="10497" width="2.7109375" style="4" customWidth="1"/>
    <col min="10498" max="10501" width="9.140625" style="4"/>
    <col min="10502" max="10502" width="12.85546875" style="4" customWidth="1"/>
    <col min="10503" max="10504" width="9.140625" style="4"/>
    <col min="10505" max="10505" width="13.28515625" style="4" customWidth="1"/>
    <col min="10506" max="10506" width="16.42578125" style="4" bestFit="1" customWidth="1"/>
    <col min="10507" max="10507" width="2.7109375" style="4" customWidth="1"/>
    <col min="10508" max="10508" width="15.7109375" style="4" customWidth="1"/>
    <col min="10509" max="10509" width="2.7109375" style="4" customWidth="1"/>
    <col min="10510" max="10752" width="9.140625" style="4"/>
    <col min="10753" max="10753" width="2.7109375" style="4" customWidth="1"/>
    <col min="10754" max="10757" width="9.140625" style="4"/>
    <col min="10758" max="10758" width="12.85546875" style="4" customWidth="1"/>
    <col min="10759" max="10760" width="9.140625" style="4"/>
    <col min="10761" max="10761" width="13.28515625" style="4" customWidth="1"/>
    <col min="10762" max="10762" width="16.42578125" style="4" bestFit="1" customWidth="1"/>
    <col min="10763" max="10763" width="2.7109375" style="4" customWidth="1"/>
    <col min="10764" max="10764" width="15.7109375" style="4" customWidth="1"/>
    <col min="10765" max="10765" width="2.7109375" style="4" customWidth="1"/>
    <col min="10766" max="11008" width="9.140625" style="4"/>
    <col min="11009" max="11009" width="2.7109375" style="4" customWidth="1"/>
    <col min="11010" max="11013" width="9.140625" style="4"/>
    <col min="11014" max="11014" width="12.85546875" style="4" customWidth="1"/>
    <col min="11015" max="11016" width="9.140625" style="4"/>
    <col min="11017" max="11017" width="13.28515625" style="4" customWidth="1"/>
    <col min="11018" max="11018" width="16.42578125" style="4" bestFit="1" customWidth="1"/>
    <col min="11019" max="11019" width="2.7109375" style="4" customWidth="1"/>
    <col min="11020" max="11020" width="15.7109375" style="4" customWidth="1"/>
    <col min="11021" max="11021" width="2.7109375" style="4" customWidth="1"/>
    <col min="11022" max="11264" width="9.140625" style="4"/>
    <col min="11265" max="11265" width="2.7109375" style="4" customWidth="1"/>
    <col min="11266" max="11269" width="9.140625" style="4"/>
    <col min="11270" max="11270" width="12.85546875" style="4" customWidth="1"/>
    <col min="11271" max="11272" width="9.140625" style="4"/>
    <col min="11273" max="11273" width="13.28515625" style="4" customWidth="1"/>
    <col min="11274" max="11274" width="16.42578125" style="4" bestFit="1" customWidth="1"/>
    <col min="11275" max="11275" width="2.7109375" style="4" customWidth="1"/>
    <col min="11276" max="11276" width="15.7109375" style="4" customWidth="1"/>
    <col min="11277" max="11277" width="2.7109375" style="4" customWidth="1"/>
    <col min="11278" max="11520" width="9.140625" style="4"/>
    <col min="11521" max="11521" width="2.7109375" style="4" customWidth="1"/>
    <col min="11522" max="11525" width="9.140625" style="4"/>
    <col min="11526" max="11526" width="12.85546875" style="4" customWidth="1"/>
    <col min="11527" max="11528" width="9.140625" style="4"/>
    <col min="11529" max="11529" width="13.28515625" style="4" customWidth="1"/>
    <col min="11530" max="11530" width="16.42578125" style="4" bestFit="1" customWidth="1"/>
    <col min="11531" max="11531" width="2.7109375" style="4" customWidth="1"/>
    <col min="11532" max="11532" width="15.7109375" style="4" customWidth="1"/>
    <col min="11533" max="11533" width="2.7109375" style="4" customWidth="1"/>
    <col min="11534" max="11776" width="9.140625" style="4"/>
    <col min="11777" max="11777" width="2.7109375" style="4" customWidth="1"/>
    <col min="11778" max="11781" width="9.140625" style="4"/>
    <col min="11782" max="11782" width="12.85546875" style="4" customWidth="1"/>
    <col min="11783" max="11784" width="9.140625" style="4"/>
    <col min="11785" max="11785" width="13.28515625" style="4" customWidth="1"/>
    <col min="11786" max="11786" width="16.42578125" style="4" bestFit="1" customWidth="1"/>
    <col min="11787" max="11787" width="2.7109375" style="4" customWidth="1"/>
    <col min="11788" max="11788" width="15.7109375" style="4" customWidth="1"/>
    <col min="11789" max="11789" width="2.7109375" style="4" customWidth="1"/>
    <col min="11790" max="12032" width="9.140625" style="4"/>
    <col min="12033" max="12033" width="2.7109375" style="4" customWidth="1"/>
    <col min="12034" max="12037" width="9.140625" style="4"/>
    <col min="12038" max="12038" width="12.85546875" style="4" customWidth="1"/>
    <col min="12039" max="12040" width="9.140625" style="4"/>
    <col min="12041" max="12041" width="13.28515625" style="4" customWidth="1"/>
    <col min="12042" max="12042" width="16.42578125" style="4" bestFit="1" customWidth="1"/>
    <col min="12043" max="12043" width="2.7109375" style="4" customWidth="1"/>
    <col min="12044" max="12044" width="15.7109375" style="4" customWidth="1"/>
    <col min="12045" max="12045" width="2.7109375" style="4" customWidth="1"/>
    <col min="12046" max="12288" width="9.140625" style="4"/>
    <col min="12289" max="12289" width="2.7109375" style="4" customWidth="1"/>
    <col min="12290" max="12293" width="9.140625" style="4"/>
    <col min="12294" max="12294" width="12.85546875" style="4" customWidth="1"/>
    <col min="12295" max="12296" width="9.140625" style="4"/>
    <col min="12297" max="12297" width="13.28515625" style="4" customWidth="1"/>
    <col min="12298" max="12298" width="16.42578125" style="4" bestFit="1" customWidth="1"/>
    <col min="12299" max="12299" width="2.7109375" style="4" customWidth="1"/>
    <col min="12300" max="12300" width="15.7109375" style="4" customWidth="1"/>
    <col min="12301" max="12301" width="2.7109375" style="4" customWidth="1"/>
    <col min="12302" max="12544" width="9.140625" style="4"/>
    <col min="12545" max="12545" width="2.7109375" style="4" customWidth="1"/>
    <col min="12546" max="12549" width="9.140625" style="4"/>
    <col min="12550" max="12550" width="12.85546875" style="4" customWidth="1"/>
    <col min="12551" max="12552" width="9.140625" style="4"/>
    <col min="12553" max="12553" width="13.28515625" style="4" customWidth="1"/>
    <col min="12554" max="12554" width="16.42578125" style="4" bestFit="1" customWidth="1"/>
    <col min="12555" max="12555" width="2.7109375" style="4" customWidth="1"/>
    <col min="12556" max="12556" width="15.7109375" style="4" customWidth="1"/>
    <col min="12557" max="12557" width="2.7109375" style="4" customWidth="1"/>
    <col min="12558" max="12800" width="9.140625" style="4"/>
    <col min="12801" max="12801" width="2.7109375" style="4" customWidth="1"/>
    <col min="12802" max="12805" width="9.140625" style="4"/>
    <col min="12806" max="12806" width="12.85546875" style="4" customWidth="1"/>
    <col min="12807" max="12808" width="9.140625" style="4"/>
    <col min="12809" max="12809" width="13.28515625" style="4" customWidth="1"/>
    <col min="12810" max="12810" width="16.42578125" style="4" bestFit="1" customWidth="1"/>
    <col min="12811" max="12811" width="2.7109375" style="4" customWidth="1"/>
    <col min="12812" max="12812" width="15.7109375" style="4" customWidth="1"/>
    <col min="12813" max="12813" width="2.7109375" style="4" customWidth="1"/>
    <col min="12814" max="13056" width="9.140625" style="4"/>
    <col min="13057" max="13057" width="2.7109375" style="4" customWidth="1"/>
    <col min="13058" max="13061" width="9.140625" style="4"/>
    <col min="13062" max="13062" width="12.85546875" style="4" customWidth="1"/>
    <col min="13063" max="13064" width="9.140625" style="4"/>
    <col min="13065" max="13065" width="13.28515625" style="4" customWidth="1"/>
    <col min="13066" max="13066" width="16.42578125" style="4" bestFit="1" customWidth="1"/>
    <col min="13067" max="13067" width="2.7109375" style="4" customWidth="1"/>
    <col min="13068" max="13068" width="15.7109375" style="4" customWidth="1"/>
    <col min="13069" max="13069" width="2.7109375" style="4" customWidth="1"/>
    <col min="13070" max="13312" width="9.140625" style="4"/>
    <col min="13313" max="13313" width="2.7109375" style="4" customWidth="1"/>
    <col min="13314" max="13317" width="9.140625" style="4"/>
    <col min="13318" max="13318" width="12.85546875" style="4" customWidth="1"/>
    <col min="13319" max="13320" width="9.140625" style="4"/>
    <col min="13321" max="13321" width="13.28515625" style="4" customWidth="1"/>
    <col min="13322" max="13322" width="16.42578125" style="4" bestFit="1" customWidth="1"/>
    <col min="13323" max="13323" width="2.7109375" style="4" customWidth="1"/>
    <col min="13324" max="13324" width="15.7109375" style="4" customWidth="1"/>
    <col min="13325" max="13325" width="2.7109375" style="4" customWidth="1"/>
    <col min="13326" max="13568" width="9.140625" style="4"/>
    <col min="13569" max="13569" width="2.7109375" style="4" customWidth="1"/>
    <col min="13570" max="13573" width="9.140625" style="4"/>
    <col min="13574" max="13574" width="12.85546875" style="4" customWidth="1"/>
    <col min="13575" max="13576" width="9.140625" style="4"/>
    <col min="13577" max="13577" width="13.28515625" style="4" customWidth="1"/>
    <col min="13578" max="13578" width="16.42578125" style="4" bestFit="1" customWidth="1"/>
    <col min="13579" max="13579" width="2.7109375" style="4" customWidth="1"/>
    <col min="13580" max="13580" width="15.7109375" style="4" customWidth="1"/>
    <col min="13581" max="13581" width="2.7109375" style="4" customWidth="1"/>
    <col min="13582" max="13824" width="9.140625" style="4"/>
    <col min="13825" max="13825" width="2.7109375" style="4" customWidth="1"/>
    <col min="13826" max="13829" width="9.140625" style="4"/>
    <col min="13830" max="13830" width="12.85546875" style="4" customWidth="1"/>
    <col min="13831" max="13832" width="9.140625" style="4"/>
    <col min="13833" max="13833" width="13.28515625" style="4" customWidth="1"/>
    <col min="13834" max="13834" width="16.42578125" style="4" bestFit="1" customWidth="1"/>
    <col min="13835" max="13835" width="2.7109375" style="4" customWidth="1"/>
    <col min="13836" max="13836" width="15.7109375" style="4" customWidth="1"/>
    <col min="13837" max="13837" width="2.7109375" style="4" customWidth="1"/>
    <col min="13838" max="14080" width="9.140625" style="4"/>
    <col min="14081" max="14081" width="2.7109375" style="4" customWidth="1"/>
    <col min="14082" max="14085" width="9.140625" style="4"/>
    <col min="14086" max="14086" width="12.85546875" style="4" customWidth="1"/>
    <col min="14087" max="14088" width="9.140625" style="4"/>
    <col min="14089" max="14089" width="13.28515625" style="4" customWidth="1"/>
    <col min="14090" max="14090" width="16.42578125" style="4" bestFit="1" customWidth="1"/>
    <col min="14091" max="14091" width="2.7109375" style="4" customWidth="1"/>
    <col min="14092" max="14092" width="15.7109375" style="4" customWidth="1"/>
    <col min="14093" max="14093" width="2.7109375" style="4" customWidth="1"/>
    <col min="14094" max="14336" width="9.140625" style="4"/>
    <col min="14337" max="14337" width="2.7109375" style="4" customWidth="1"/>
    <col min="14338" max="14341" width="9.140625" style="4"/>
    <col min="14342" max="14342" width="12.85546875" style="4" customWidth="1"/>
    <col min="14343" max="14344" width="9.140625" style="4"/>
    <col min="14345" max="14345" width="13.28515625" style="4" customWidth="1"/>
    <col min="14346" max="14346" width="16.42578125" style="4" bestFit="1" customWidth="1"/>
    <col min="14347" max="14347" width="2.7109375" style="4" customWidth="1"/>
    <col min="14348" max="14348" width="15.7109375" style="4" customWidth="1"/>
    <col min="14349" max="14349" width="2.7109375" style="4" customWidth="1"/>
    <col min="14350" max="14592" width="9.140625" style="4"/>
    <col min="14593" max="14593" width="2.7109375" style="4" customWidth="1"/>
    <col min="14594" max="14597" width="9.140625" style="4"/>
    <col min="14598" max="14598" width="12.85546875" style="4" customWidth="1"/>
    <col min="14599" max="14600" width="9.140625" style="4"/>
    <col min="14601" max="14601" width="13.28515625" style="4" customWidth="1"/>
    <col min="14602" max="14602" width="16.42578125" style="4" bestFit="1" customWidth="1"/>
    <col min="14603" max="14603" width="2.7109375" style="4" customWidth="1"/>
    <col min="14604" max="14604" width="15.7109375" style="4" customWidth="1"/>
    <col min="14605" max="14605" width="2.7109375" style="4" customWidth="1"/>
    <col min="14606" max="14848" width="9.140625" style="4"/>
    <col min="14849" max="14849" width="2.7109375" style="4" customWidth="1"/>
    <col min="14850" max="14853" width="9.140625" style="4"/>
    <col min="14854" max="14854" width="12.85546875" style="4" customWidth="1"/>
    <col min="14855" max="14856" width="9.140625" style="4"/>
    <col min="14857" max="14857" width="13.28515625" style="4" customWidth="1"/>
    <col min="14858" max="14858" width="16.42578125" style="4" bestFit="1" customWidth="1"/>
    <col min="14859" max="14859" width="2.7109375" style="4" customWidth="1"/>
    <col min="14860" max="14860" width="15.7109375" style="4" customWidth="1"/>
    <col min="14861" max="14861" width="2.7109375" style="4" customWidth="1"/>
    <col min="14862" max="15104" width="9.140625" style="4"/>
    <col min="15105" max="15105" width="2.7109375" style="4" customWidth="1"/>
    <col min="15106" max="15109" width="9.140625" style="4"/>
    <col min="15110" max="15110" width="12.85546875" style="4" customWidth="1"/>
    <col min="15111" max="15112" width="9.140625" style="4"/>
    <col min="15113" max="15113" width="13.28515625" style="4" customWidth="1"/>
    <col min="15114" max="15114" width="16.42578125" style="4" bestFit="1" customWidth="1"/>
    <col min="15115" max="15115" width="2.7109375" style="4" customWidth="1"/>
    <col min="15116" max="15116" width="15.7109375" style="4" customWidth="1"/>
    <col min="15117" max="15117" width="2.7109375" style="4" customWidth="1"/>
    <col min="15118" max="15360" width="9.140625" style="4"/>
    <col min="15361" max="15361" width="2.7109375" style="4" customWidth="1"/>
    <col min="15362" max="15365" width="9.140625" style="4"/>
    <col min="15366" max="15366" width="12.85546875" style="4" customWidth="1"/>
    <col min="15367" max="15368" width="9.140625" style="4"/>
    <col min="15369" max="15369" width="13.28515625" style="4" customWidth="1"/>
    <col min="15370" max="15370" width="16.42578125" style="4" bestFit="1" customWidth="1"/>
    <col min="15371" max="15371" width="2.7109375" style="4" customWidth="1"/>
    <col min="15372" max="15372" width="15.7109375" style="4" customWidth="1"/>
    <col min="15373" max="15373" width="2.7109375" style="4" customWidth="1"/>
    <col min="15374" max="15616" width="9.140625" style="4"/>
    <col min="15617" max="15617" width="2.7109375" style="4" customWidth="1"/>
    <col min="15618" max="15621" width="9.140625" style="4"/>
    <col min="15622" max="15622" width="12.85546875" style="4" customWidth="1"/>
    <col min="15623" max="15624" width="9.140625" style="4"/>
    <col min="15625" max="15625" width="13.28515625" style="4" customWidth="1"/>
    <col min="15626" max="15626" width="16.42578125" style="4" bestFit="1" customWidth="1"/>
    <col min="15627" max="15627" width="2.7109375" style="4" customWidth="1"/>
    <col min="15628" max="15628" width="15.7109375" style="4" customWidth="1"/>
    <col min="15629" max="15629" width="2.7109375" style="4" customWidth="1"/>
    <col min="15630" max="15872" width="9.140625" style="4"/>
    <col min="15873" max="15873" width="2.7109375" style="4" customWidth="1"/>
    <col min="15874" max="15877" width="9.140625" style="4"/>
    <col min="15878" max="15878" width="12.85546875" style="4" customWidth="1"/>
    <col min="15879" max="15880" width="9.140625" style="4"/>
    <col min="15881" max="15881" width="13.28515625" style="4" customWidth="1"/>
    <col min="15882" max="15882" width="16.42578125" style="4" bestFit="1" customWidth="1"/>
    <col min="15883" max="15883" width="2.7109375" style="4" customWidth="1"/>
    <col min="15884" max="15884" width="15.7109375" style="4" customWidth="1"/>
    <col min="15885" max="15885" width="2.7109375" style="4" customWidth="1"/>
    <col min="15886" max="16128" width="9.140625" style="4"/>
    <col min="16129" max="16129" width="2.7109375" style="4" customWidth="1"/>
    <col min="16130" max="16133" width="9.140625" style="4"/>
    <col min="16134" max="16134" width="12.85546875" style="4" customWidth="1"/>
    <col min="16135" max="16136" width="9.140625" style="4"/>
    <col min="16137" max="16137" width="13.28515625" style="4" customWidth="1"/>
    <col min="16138" max="16138" width="16.42578125" style="4" bestFit="1" customWidth="1"/>
    <col min="16139" max="16139" width="2.7109375" style="4" customWidth="1"/>
    <col min="16140" max="16140" width="15.7109375" style="4" customWidth="1"/>
    <col min="16141" max="16141" width="2.7109375" style="4" customWidth="1"/>
    <col min="16142" max="16384" width="9.140625" style="4"/>
  </cols>
  <sheetData>
    <row r="1" spans="1:12" ht="8.4499999999999993" customHeight="1" thickBot="1" x14ac:dyDescent="0.25">
      <c r="A1" s="1"/>
      <c r="B1" s="2"/>
      <c r="C1" s="2"/>
      <c r="D1" s="2"/>
      <c r="E1" s="2" t="s">
        <v>195</v>
      </c>
      <c r="F1" s="2"/>
      <c r="G1" s="75"/>
      <c r="H1" s="2"/>
      <c r="I1" s="2"/>
      <c r="J1" s="75"/>
      <c r="K1" s="2"/>
      <c r="L1" s="3"/>
    </row>
    <row r="2" spans="1:12" ht="13.5" thickBot="1" x14ac:dyDescent="0.25">
      <c r="A2" s="5"/>
      <c r="B2" s="6"/>
      <c r="C2" s="7"/>
      <c r="D2" s="7"/>
      <c r="E2" s="7"/>
      <c r="F2" s="7"/>
      <c r="G2" s="76"/>
      <c r="H2" s="7"/>
      <c r="I2" s="7"/>
      <c r="J2" s="76"/>
      <c r="K2" s="8"/>
      <c r="L2" s="9"/>
    </row>
    <row r="3" spans="1:12" ht="14.45" customHeight="1" x14ac:dyDescent="0.2">
      <c r="A3" s="5"/>
      <c r="B3" s="10"/>
      <c r="C3" s="231"/>
      <c r="D3" s="232"/>
      <c r="E3" s="232"/>
      <c r="F3" s="232"/>
      <c r="G3" s="232"/>
      <c r="H3" s="232"/>
      <c r="I3" s="232"/>
      <c r="J3" s="233"/>
      <c r="K3" s="13"/>
      <c r="L3" s="9"/>
    </row>
    <row r="4" spans="1:12" ht="14.45" customHeight="1" x14ac:dyDescent="0.2">
      <c r="A4" s="5"/>
      <c r="B4" s="10"/>
      <c r="C4" s="234"/>
      <c r="D4" s="235"/>
      <c r="E4" s="235"/>
      <c r="F4" s="235"/>
      <c r="G4" s="235"/>
      <c r="H4" s="235"/>
      <c r="I4" s="235"/>
      <c r="J4" s="236"/>
      <c r="K4" s="13"/>
      <c r="L4" s="9"/>
    </row>
    <row r="5" spans="1:12" ht="14.45" customHeight="1" x14ac:dyDescent="0.2">
      <c r="A5" s="5"/>
      <c r="B5" s="10"/>
      <c r="C5" s="234"/>
      <c r="D5" s="235"/>
      <c r="E5" s="235"/>
      <c r="F5" s="235"/>
      <c r="G5" s="235"/>
      <c r="H5" s="235"/>
      <c r="I5" s="235"/>
      <c r="J5" s="236"/>
      <c r="K5" s="13"/>
      <c r="L5" s="9"/>
    </row>
    <row r="6" spans="1:12" ht="14.45" customHeight="1" thickBot="1" x14ac:dyDescent="0.25">
      <c r="A6" s="5"/>
      <c r="B6" s="10"/>
      <c r="C6" s="237"/>
      <c r="D6" s="238"/>
      <c r="E6" s="238"/>
      <c r="F6" s="238"/>
      <c r="G6" s="238"/>
      <c r="H6" s="238"/>
      <c r="I6" s="238"/>
      <c r="J6" s="239"/>
      <c r="K6" s="13"/>
      <c r="L6" s="9"/>
    </row>
    <row r="7" spans="1:12" ht="18.75" thickBot="1" x14ac:dyDescent="0.25">
      <c r="A7" s="5"/>
      <c r="B7" s="10"/>
      <c r="C7" s="7"/>
      <c r="D7" s="11"/>
      <c r="E7" s="11"/>
      <c r="F7" s="11"/>
      <c r="G7" s="11"/>
      <c r="H7" s="11"/>
      <c r="I7" s="18"/>
      <c r="J7" s="18"/>
      <c r="K7" s="13"/>
      <c r="L7" s="9"/>
    </row>
    <row r="8" spans="1:12" x14ac:dyDescent="0.2">
      <c r="A8" s="5"/>
      <c r="B8" s="10"/>
      <c r="C8" s="6" t="s">
        <v>1</v>
      </c>
      <c r="D8" s="7" t="str">
        <f>'Equipe Técnica Exec.'!D8</f>
        <v>CONSÓRCIO RODOVIA PR 317 IGUARAÇU MARINGÁ</v>
      </c>
      <c r="E8" s="7"/>
      <c r="F8" s="7"/>
      <c r="G8" s="76"/>
      <c r="H8" s="7"/>
      <c r="I8" s="19" t="s">
        <v>3</v>
      </c>
      <c r="J8" s="20" t="str">
        <f>'Equipe Técnica Exec.'!K8</f>
        <v>141 / 2025</v>
      </c>
      <c r="K8" s="13"/>
      <c r="L8" s="9"/>
    </row>
    <row r="9" spans="1:12" x14ac:dyDescent="0.2">
      <c r="A9" s="5"/>
      <c r="B9" s="10"/>
      <c r="C9" s="10" t="s">
        <v>5</v>
      </c>
      <c r="D9" s="4" t="str">
        <f>'Equipe Técnica Exec.'!D9</f>
        <v>PR-317</v>
      </c>
      <c r="I9" s="79" t="s">
        <v>196</v>
      </c>
      <c r="J9" s="23">
        <f>'Equipe Técnica Exec.'!K9</f>
        <v>13</v>
      </c>
      <c r="K9" s="13"/>
      <c r="L9" s="9"/>
    </row>
    <row r="10" spans="1:12" ht="33" customHeight="1" thickBot="1" x14ac:dyDescent="0.25">
      <c r="A10" s="5"/>
      <c r="B10" s="10"/>
      <c r="C10" s="24" t="s">
        <v>8</v>
      </c>
      <c r="D10" s="249" t="str">
        <f>'Equipe Técnica Exec.'!D10</f>
        <v>DUPLICAÇÃO E RESTAURAÇÃO DA PISTA EXISTENTE DA RODOVIA PR-317, TRECHO IGUARAÇU–MARINGÁ</v>
      </c>
      <c r="E10" s="249"/>
      <c r="F10" s="249"/>
      <c r="G10" s="249"/>
      <c r="H10" s="25"/>
      <c r="I10" s="80" t="s">
        <v>10</v>
      </c>
      <c r="J10" s="81">
        <f>'Equipe Técnica Exec.'!K10</f>
        <v>46235</v>
      </c>
      <c r="K10" s="13"/>
      <c r="L10" s="9"/>
    </row>
    <row r="11" spans="1:12" ht="9.9499999999999993" customHeight="1" thickBot="1" x14ac:dyDescent="0.25">
      <c r="A11" s="5"/>
      <c r="B11" s="10"/>
      <c r="G11" s="82"/>
      <c r="H11" s="25"/>
      <c r="I11" s="82"/>
      <c r="J11" s="82"/>
      <c r="K11" s="13"/>
      <c r="L11" s="9"/>
    </row>
    <row r="12" spans="1:12" ht="16.5" customHeight="1" thickBot="1" x14ac:dyDescent="0.3">
      <c r="A12" s="5"/>
      <c r="B12" s="10"/>
      <c r="C12" s="252" t="s">
        <v>197</v>
      </c>
      <c r="D12" s="253"/>
      <c r="E12" s="253"/>
      <c r="F12" s="254"/>
      <c r="G12" s="263" t="s">
        <v>198</v>
      </c>
      <c r="H12" s="264"/>
      <c r="I12" s="264"/>
      <c r="J12" s="265"/>
      <c r="K12" s="13"/>
      <c r="L12" s="9"/>
    </row>
    <row r="13" spans="1:12" ht="12.75" customHeight="1" x14ac:dyDescent="0.2">
      <c r="A13" s="5"/>
      <c r="B13" s="10"/>
      <c r="C13" s="260"/>
      <c r="D13" s="261"/>
      <c r="E13" s="261"/>
      <c r="F13" s="262"/>
      <c r="G13" s="266" t="s">
        <v>199</v>
      </c>
      <c r="H13" s="266" t="s">
        <v>200</v>
      </c>
      <c r="I13" s="269" t="s">
        <v>201</v>
      </c>
      <c r="J13" s="269" t="s">
        <v>202</v>
      </c>
      <c r="K13" s="13"/>
      <c r="L13" s="9"/>
    </row>
    <row r="14" spans="1:12" ht="17.25" customHeight="1" thickBot="1" x14ac:dyDescent="0.25">
      <c r="A14" s="5"/>
      <c r="B14" s="10"/>
      <c r="C14" s="255"/>
      <c r="D14" s="256"/>
      <c r="E14" s="256"/>
      <c r="F14" s="257"/>
      <c r="G14" s="267"/>
      <c r="H14" s="267"/>
      <c r="I14" s="270"/>
      <c r="J14" s="270"/>
      <c r="K14" s="13"/>
      <c r="L14" s="9"/>
    </row>
    <row r="15" spans="1:12" ht="15" customHeight="1" thickBot="1" x14ac:dyDescent="0.25">
      <c r="A15" s="5"/>
      <c r="B15" s="10"/>
      <c r="C15" s="83" t="s">
        <v>203</v>
      </c>
      <c r="D15" s="272" t="s">
        <v>204</v>
      </c>
      <c r="E15" s="273"/>
      <c r="F15" s="274"/>
      <c r="G15" s="268"/>
      <c r="H15" s="268"/>
      <c r="I15" s="271"/>
      <c r="J15" s="271"/>
      <c r="K15" s="13"/>
      <c r="L15" s="9"/>
    </row>
    <row r="16" spans="1:12" ht="15" customHeight="1" x14ac:dyDescent="0.2">
      <c r="A16" s="5"/>
      <c r="B16" s="10"/>
      <c r="C16" s="84" t="s">
        <v>205</v>
      </c>
      <c r="D16" s="85" t="s">
        <v>206</v>
      </c>
      <c r="E16" s="86"/>
      <c r="F16" s="87"/>
      <c r="G16" s="88"/>
      <c r="H16" s="89"/>
      <c r="I16" s="90" t="s">
        <v>207</v>
      </c>
      <c r="J16" s="91"/>
      <c r="K16" s="13"/>
      <c r="L16" s="9"/>
    </row>
    <row r="17" spans="1:12" ht="15" customHeight="1" x14ac:dyDescent="0.2">
      <c r="A17" s="5"/>
      <c r="B17" s="10"/>
      <c r="C17" s="92" t="s">
        <v>208</v>
      </c>
      <c r="D17" s="85" t="s">
        <v>206</v>
      </c>
      <c r="E17" s="85"/>
      <c r="F17" s="93"/>
      <c r="G17" s="94"/>
      <c r="H17" s="94"/>
      <c r="I17" s="90" t="s">
        <v>207</v>
      </c>
      <c r="J17" s="95"/>
      <c r="K17" s="13"/>
      <c r="L17" s="9"/>
    </row>
    <row r="18" spans="1:12" ht="15" customHeight="1" x14ac:dyDescent="0.2">
      <c r="A18" s="5"/>
      <c r="B18" s="10"/>
      <c r="C18" s="92" t="s">
        <v>209</v>
      </c>
      <c r="D18" s="85" t="s">
        <v>210</v>
      </c>
      <c r="E18" s="85"/>
      <c r="F18" s="93"/>
      <c r="G18" s="94"/>
      <c r="H18" s="94"/>
      <c r="I18" s="90" t="s">
        <v>207</v>
      </c>
      <c r="J18" s="91"/>
      <c r="K18" s="13"/>
      <c r="L18" s="9"/>
    </row>
    <row r="19" spans="1:12" ht="15" customHeight="1" x14ac:dyDescent="0.2">
      <c r="A19" s="5"/>
      <c r="B19" s="10"/>
      <c r="C19" s="92" t="s">
        <v>211</v>
      </c>
      <c r="D19" s="85" t="s">
        <v>210</v>
      </c>
      <c r="E19" s="85"/>
      <c r="F19" s="93"/>
      <c r="G19" s="94"/>
      <c r="H19" s="94"/>
      <c r="I19" s="90" t="s">
        <v>207</v>
      </c>
      <c r="J19" s="91"/>
      <c r="K19" s="13"/>
      <c r="L19" s="9"/>
    </row>
    <row r="20" spans="1:12" ht="15" customHeight="1" x14ac:dyDescent="0.2">
      <c r="A20" s="5"/>
      <c r="B20" s="10"/>
      <c r="C20" s="92" t="s">
        <v>212</v>
      </c>
      <c r="D20" s="85" t="s">
        <v>213</v>
      </c>
      <c r="E20" s="85"/>
      <c r="F20" s="93"/>
      <c r="G20" s="89"/>
      <c r="H20" s="96"/>
      <c r="I20" s="90" t="s">
        <v>207</v>
      </c>
      <c r="J20" s="91"/>
      <c r="K20" s="13"/>
      <c r="L20" s="9"/>
    </row>
    <row r="21" spans="1:12" ht="15" customHeight="1" x14ac:dyDescent="0.2">
      <c r="A21" s="5"/>
      <c r="B21" s="10"/>
      <c r="C21" s="92" t="s">
        <v>214</v>
      </c>
      <c r="D21" s="85" t="s">
        <v>215</v>
      </c>
      <c r="E21" s="85"/>
      <c r="F21" s="93"/>
      <c r="G21" s="94"/>
      <c r="H21" s="94"/>
      <c r="I21" s="90" t="s">
        <v>207</v>
      </c>
      <c r="J21" s="95"/>
      <c r="K21" s="13"/>
      <c r="L21" s="9"/>
    </row>
    <row r="22" spans="1:12" ht="15" customHeight="1" x14ac:dyDescent="0.2">
      <c r="A22" s="5"/>
      <c r="B22" s="10"/>
      <c r="C22" s="92" t="s">
        <v>216</v>
      </c>
      <c r="D22" s="85" t="s">
        <v>217</v>
      </c>
      <c r="E22" s="85"/>
      <c r="F22" s="93"/>
      <c r="G22" s="94"/>
      <c r="H22" s="94"/>
      <c r="I22" s="90" t="s">
        <v>207</v>
      </c>
      <c r="J22" s="95"/>
      <c r="K22" s="13"/>
      <c r="L22" s="9"/>
    </row>
    <row r="23" spans="1:12" ht="15" customHeight="1" x14ac:dyDescent="0.2">
      <c r="A23" s="5"/>
      <c r="B23" s="10"/>
      <c r="C23" s="92" t="s">
        <v>218</v>
      </c>
      <c r="D23" s="85" t="s">
        <v>219</v>
      </c>
      <c r="E23" s="85"/>
      <c r="F23" s="93"/>
      <c r="G23" s="94"/>
      <c r="H23" s="94"/>
      <c r="I23" s="90" t="s">
        <v>207</v>
      </c>
      <c r="J23" s="95"/>
      <c r="K23" s="13"/>
      <c r="L23" s="9"/>
    </row>
    <row r="24" spans="1:12" ht="15" customHeight="1" x14ac:dyDescent="0.2">
      <c r="A24" s="5"/>
      <c r="B24" s="10"/>
      <c r="C24" s="92" t="s">
        <v>220</v>
      </c>
      <c r="D24" s="85" t="s">
        <v>221</v>
      </c>
      <c r="E24" s="85"/>
      <c r="F24" s="93"/>
      <c r="G24" s="94"/>
      <c r="H24" s="94"/>
      <c r="I24" s="90" t="s">
        <v>207</v>
      </c>
      <c r="J24" s="95"/>
      <c r="K24" s="13"/>
      <c r="L24" s="9"/>
    </row>
    <row r="25" spans="1:12" ht="15" customHeight="1" x14ac:dyDescent="0.2">
      <c r="A25" s="5"/>
      <c r="B25" s="10"/>
      <c r="C25" s="92" t="s">
        <v>222</v>
      </c>
      <c r="D25" s="85" t="s">
        <v>223</v>
      </c>
      <c r="E25" s="85"/>
      <c r="F25" s="93"/>
      <c r="G25" s="89"/>
      <c r="H25" s="94"/>
      <c r="I25" s="90" t="s">
        <v>207</v>
      </c>
      <c r="J25" s="91"/>
      <c r="K25" s="13"/>
      <c r="L25" s="9"/>
    </row>
    <row r="26" spans="1:12" ht="15" customHeight="1" x14ac:dyDescent="0.2">
      <c r="A26" s="5"/>
      <c r="B26" s="10"/>
      <c r="C26" s="92" t="s">
        <v>224</v>
      </c>
      <c r="D26" s="85" t="s">
        <v>223</v>
      </c>
      <c r="E26" s="85"/>
      <c r="F26" s="93"/>
      <c r="G26" s="94"/>
      <c r="H26" s="94"/>
      <c r="I26" s="90" t="s">
        <v>207</v>
      </c>
      <c r="J26" s="95"/>
      <c r="K26" s="13"/>
      <c r="L26" s="9"/>
    </row>
    <row r="27" spans="1:12" ht="15" customHeight="1" x14ac:dyDescent="0.2">
      <c r="A27" s="5"/>
      <c r="B27" s="10"/>
      <c r="C27" s="92" t="s">
        <v>225</v>
      </c>
      <c r="D27" s="85" t="s">
        <v>226</v>
      </c>
      <c r="E27" s="85"/>
      <c r="F27" s="93"/>
      <c r="G27" s="94"/>
      <c r="H27" s="94"/>
      <c r="I27" s="90" t="s">
        <v>207</v>
      </c>
      <c r="J27" s="95"/>
      <c r="K27" s="13"/>
      <c r="L27" s="9"/>
    </row>
    <row r="28" spans="1:12" ht="15" customHeight="1" x14ac:dyDescent="0.2">
      <c r="A28" s="5"/>
      <c r="B28" s="10"/>
      <c r="C28" s="92" t="s">
        <v>227</v>
      </c>
      <c r="D28" s="85" t="s">
        <v>217</v>
      </c>
      <c r="E28" s="85"/>
      <c r="F28" s="93"/>
      <c r="G28" s="94"/>
      <c r="H28" s="94"/>
      <c r="I28" s="90" t="s">
        <v>207</v>
      </c>
      <c r="J28" s="95"/>
      <c r="K28" s="13"/>
      <c r="L28" s="9"/>
    </row>
    <row r="29" spans="1:12" ht="15" customHeight="1" x14ac:dyDescent="0.2">
      <c r="A29" s="5"/>
      <c r="B29" s="10"/>
      <c r="C29" s="97" t="s">
        <v>228</v>
      </c>
      <c r="D29" s="85" t="s">
        <v>229</v>
      </c>
      <c r="E29" s="85"/>
      <c r="F29" s="93"/>
      <c r="G29" s="94"/>
      <c r="H29" s="94"/>
      <c r="I29" s="90" t="s">
        <v>207</v>
      </c>
      <c r="J29" s="95"/>
      <c r="K29" s="13"/>
      <c r="L29" s="9"/>
    </row>
    <row r="30" spans="1:12" ht="15" customHeight="1" x14ac:dyDescent="0.2">
      <c r="A30" s="5"/>
      <c r="B30" s="10"/>
      <c r="C30" s="92" t="s">
        <v>230</v>
      </c>
      <c r="D30" s="85" t="s">
        <v>231</v>
      </c>
      <c r="E30" s="85"/>
      <c r="F30" s="93"/>
      <c r="G30" s="94"/>
      <c r="H30" s="98"/>
      <c r="I30" s="90" t="s">
        <v>207</v>
      </c>
      <c r="J30" s="95"/>
      <c r="K30" s="13"/>
      <c r="L30" s="9"/>
    </row>
    <row r="31" spans="1:12" ht="15" customHeight="1" x14ac:dyDescent="0.2">
      <c r="A31" s="5"/>
      <c r="B31" s="10"/>
      <c r="C31" s="92" t="s">
        <v>232</v>
      </c>
      <c r="D31" s="85" t="s">
        <v>233</v>
      </c>
      <c r="E31" s="85"/>
      <c r="F31" s="93"/>
      <c r="G31" s="94"/>
      <c r="H31" s="99"/>
      <c r="I31" s="90" t="s">
        <v>207</v>
      </c>
      <c r="J31" s="95"/>
      <c r="K31" s="13"/>
      <c r="L31" s="9"/>
    </row>
    <row r="32" spans="1:12" ht="15" customHeight="1" x14ac:dyDescent="0.2">
      <c r="A32" s="5"/>
      <c r="B32" s="10"/>
      <c r="C32" s="92" t="s">
        <v>234</v>
      </c>
      <c r="D32" s="85" t="s">
        <v>235</v>
      </c>
      <c r="E32" s="85"/>
      <c r="F32" s="93"/>
      <c r="G32" s="94"/>
      <c r="H32" s="89"/>
      <c r="I32" s="90" t="s">
        <v>207</v>
      </c>
      <c r="J32" s="95"/>
      <c r="K32" s="13"/>
      <c r="L32" s="9"/>
    </row>
    <row r="33" spans="1:12" ht="15" customHeight="1" x14ac:dyDescent="0.2">
      <c r="A33" s="5"/>
      <c r="B33" s="10"/>
      <c r="C33" s="92" t="s">
        <v>236</v>
      </c>
      <c r="D33" s="85" t="s">
        <v>223</v>
      </c>
      <c r="E33" s="85"/>
      <c r="F33" s="93"/>
      <c r="G33" s="94"/>
      <c r="H33" s="94"/>
      <c r="I33" s="90" t="s">
        <v>207</v>
      </c>
      <c r="J33" s="95"/>
      <c r="K33" s="13"/>
      <c r="L33" s="9"/>
    </row>
    <row r="34" spans="1:12" ht="15" customHeight="1" x14ac:dyDescent="0.2">
      <c r="A34" s="5"/>
      <c r="B34" s="10"/>
      <c r="C34" s="92" t="s">
        <v>237</v>
      </c>
      <c r="D34" s="85" t="s">
        <v>238</v>
      </c>
      <c r="E34" s="85"/>
      <c r="F34" s="93"/>
      <c r="G34" s="94"/>
      <c r="H34" s="94"/>
      <c r="I34" s="90" t="s">
        <v>207</v>
      </c>
      <c r="J34" s="95"/>
      <c r="K34" s="13"/>
      <c r="L34" s="9"/>
    </row>
    <row r="35" spans="1:12" ht="15" customHeight="1" x14ac:dyDescent="0.2">
      <c r="A35" s="5"/>
      <c r="B35" s="10"/>
      <c r="C35" s="92" t="s">
        <v>239</v>
      </c>
      <c r="D35" s="85" t="s">
        <v>240</v>
      </c>
      <c r="E35" s="85"/>
      <c r="F35" s="93"/>
      <c r="G35" s="94"/>
      <c r="H35" s="100"/>
      <c r="I35" s="90" t="s">
        <v>207</v>
      </c>
      <c r="J35" s="95"/>
      <c r="K35" s="13"/>
      <c r="L35" s="9"/>
    </row>
    <row r="36" spans="1:12" ht="15" customHeight="1" x14ac:dyDescent="0.2">
      <c r="A36" s="5"/>
      <c r="B36" s="10"/>
      <c r="C36" s="92" t="s">
        <v>241</v>
      </c>
      <c r="D36" s="85" t="s">
        <v>242</v>
      </c>
      <c r="E36" s="85"/>
      <c r="F36" s="93"/>
      <c r="G36" s="94"/>
      <c r="H36" s="100"/>
      <c r="I36" s="90" t="s">
        <v>207</v>
      </c>
      <c r="J36" s="95"/>
      <c r="K36" s="13"/>
      <c r="L36" s="9"/>
    </row>
    <row r="37" spans="1:12" ht="15" customHeight="1" x14ac:dyDescent="0.2">
      <c r="A37" s="5"/>
      <c r="B37" s="10"/>
      <c r="C37" s="92" t="s">
        <v>243</v>
      </c>
      <c r="D37" s="85" t="s">
        <v>223</v>
      </c>
      <c r="E37" s="85"/>
      <c r="F37" s="93"/>
      <c r="G37" s="94"/>
      <c r="H37" s="94"/>
      <c r="I37" s="90" t="s">
        <v>207</v>
      </c>
      <c r="J37" s="95"/>
      <c r="K37" s="13"/>
      <c r="L37" s="9"/>
    </row>
    <row r="38" spans="1:12" ht="15" customHeight="1" x14ac:dyDescent="0.2">
      <c r="A38" s="5"/>
      <c r="B38" s="10"/>
      <c r="C38" s="92" t="s">
        <v>244</v>
      </c>
      <c r="D38" s="85" t="s">
        <v>245</v>
      </c>
      <c r="E38" s="85"/>
      <c r="F38" s="93"/>
      <c r="G38" s="94"/>
      <c r="H38" s="94"/>
      <c r="I38" s="90" t="s">
        <v>207</v>
      </c>
      <c r="J38" s="95"/>
      <c r="K38" s="13"/>
      <c r="L38" s="9"/>
    </row>
    <row r="39" spans="1:12" ht="15" customHeight="1" x14ac:dyDescent="0.2">
      <c r="A39" s="5"/>
      <c r="B39" s="10"/>
      <c r="C39" s="92" t="s">
        <v>246</v>
      </c>
      <c r="D39" s="85" t="s">
        <v>245</v>
      </c>
      <c r="E39" s="85"/>
      <c r="F39" s="93"/>
      <c r="G39" s="94"/>
      <c r="H39" s="100"/>
      <c r="I39" s="90" t="s">
        <v>207</v>
      </c>
      <c r="J39" s="95"/>
      <c r="K39" s="13"/>
      <c r="L39" s="9"/>
    </row>
    <row r="40" spans="1:12" ht="15" customHeight="1" x14ac:dyDescent="0.2">
      <c r="A40" s="5"/>
      <c r="B40" s="10"/>
      <c r="C40" s="92" t="s">
        <v>247</v>
      </c>
      <c r="D40" s="85" t="s">
        <v>248</v>
      </c>
      <c r="E40" s="85"/>
      <c r="F40" s="93"/>
      <c r="G40" s="94"/>
      <c r="H40" s="100"/>
      <c r="I40" s="90" t="s">
        <v>207</v>
      </c>
      <c r="J40" s="95"/>
      <c r="K40" s="13"/>
      <c r="L40" s="9"/>
    </row>
    <row r="41" spans="1:12" ht="15" customHeight="1" x14ac:dyDescent="0.2">
      <c r="A41" s="5"/>
      <c r="B41" s="10"/>
      <c r="C41" s="92" t="s">
        <v>249</v>
      </c>
      <c r="D41" s="85" t="s">
        <v>219</v>
      </c>
      <c r="E41" s="85"/>
      <c r="F41" s="93"/>
      <c r="G41" s="94"/>
      <c r="H41" s="100"/>
      <c r="I41" s="90" t="s">
        <v>207</v>
      </c>
      <c r="J41" s="95"/>
      <c r="K41" s="13"/>
      <c r="L41" s="9"/>
    </row>
    <row r="42" spans="1:12" ht="15" customHeight="1" x14ac:dyDescent="0.2">
      <c r="A42" s="5"/>
      <c r="B42" s="10"/>
      <c r="C42" s="92" t="s">
        <v>250</v>
      </c>
      <c r="D42" s="85" t="s">
        <v>251</v>
      </c>
      <c r="E42" s="85"/>
      <c r="F42" s="93"/>
      <c r="G42" s="94"/>
      <c r="H42" s="100"/>
      <c r="I42" s="90" t="s">
        <v>207</v>
      </c>
      <c r="J42" s="95"/>
      <c r="K42" s="13"/>
      <c r="L42" s="9"/>
    </row>
    <row r="43" spans="1:12" ht="15" customHeight="1" x14ac:dyDescent="0.2">
      <c r="A43" s="5"/>
      <c r="B43" s="10"/>
      <c r="C43" s="92" t="s">
        <v>252</v>
      </c>
      <c r="D43" s="85" t="s">
        <v>251</v>
      </c>
      <c r="E43" s="85"/>
      <c r="F43" s="93"/>
      <c r="G43" s="94"/>
      <c r="H43" s="100"/>
      <c r="I43" s="90" t="s">
        <v>207</v>
      </c>
      <c r="J43" s="95"/>
      <c r="K43" s="13"/>
      <c r="L43" s="9"/>
    </row>
    <row r="44" spans="1:12" ht="15" customHeight="1" x14ac:dyDescent="0.2">
      <c r="A44" s="5"/>
      <c r="B44" s="10"/>
      <c r="C44" s="92" t="s">
        <v>253</v>
      </c>
      <c r="D44" s="85" t="s">
        <v>251</v>
      </c>
      <c r="E44" s="85"/>
      <c r="F44" s="93"/>
      <c r="G44" s="94"/>
      <c r="H44" s="100"/>
      <c r="I44" s="90" t="s">
        <v>207</v>
      </c>
      <c r="J44" s="95"/>
      <c r="K44" s="13"/>
      <c r="L44" s="9"/>
    </row>
    <row r="45" spans="1:12" ht="15" customHeight="1" x14ac:dyDescent="0.2">
      <c r="A45" s="5"/>
      <c r="B45" s="10"/>
      <c r="C45" s="92" t="s">
        <v>254</v>
      </c>
      <c r="D45" s="85" t="s">
        <v>251</v>
      </c>
      <c r="E45" s="85"/>
      <c r="F45" s="93"/>
      <c r="G45" s="94"/>
      <c r="H45" s="100"/>
      <c r="I45" s="90" t="s">
        <v>207</v>
      </c>
      <c r="J45" s="95"/>
      <c r="K45" s="13"/>
      <c r="L45" s="9"/>
    </row>
    <row r="46" spans="1:12" ht="15" customHeight="1" x14ac:dyDescent="0.2">
      <c r="A46" s="5"/>
      <c r="B46" s="10"/>
      <c r="C46" s="92" t="s">
        <v>255</v>
      </c>
      <c r="D46" s="85" t="s">
        <v>251</v>
      </c>
      <c r="E46" s="85"/>
      <c r="F46" s="93"/>
      <c r="G46" s="94"/>
      <c r="H46" s="100"/>
      <c r="I46" s="90" t="s">
        <v>207</v>
      </c>
      <c r="J46" s="95"/>
      <c r="K46" s="13"/>
      <c r="L46" s="9"/>
    </row>
    <row r="47" spans="1:12" ht="15" customHeight="1" x14ac:dyDescent="0.2">
      <c r="A47" s="5"/>
      <c r="B47" s="10"/>
      <c r="C47" s="92" t="s">
        <v>256</v>
      </c>
      <c r="D47" s="85" t="s">
        <v>251</v>
      </c>
      <c r="E47" s="85"/>
      <c r="F47" s="93"/>
      <c r="G47" s="94"/>
      <c r="H47" s="100"/>
      <c r="I47" s="90" t="s">
        <v>207</v>
      </c>
      <c r="J47" s="95"/>
      <c r="K47" s="13"/>
      <c r="L47" s="9"/>
    </row>
    <row r="48" spans="1:12" ht="15" customHeight="1" x14ac:dyDescent="0.2">
      <c r="A48" s="5"/>
      <c r="B48" s="10"/>
      <c r="C48" s="92" t="s">
        <v>257</v>
      </c>
      <c r="D48" s="85" t="s">
        <v>251</v>
      </c>
      <c r="E48" s="85"/>
      <c r="F48" s="93"/>
      <c r="G48" s="100"/>
      <c r="H48" s="100"/>
      <c r="I48" s="90" t="s">
        <v>207</v>
      </c>
      <c r="J48" s="95"/>
      <c r="K48" s="13"/>
      <c r="L48" s="9"/>
    </row>
    <row r="49" spans="1:12" ht="15" customHeight="1" x14ac:dyDescent="0.2">
      <c r="A49" s="5"/>
      <c r="B49" s="10"/>
      <c r="C49" s="92" t="s">
        <v>258</v>
      </c>
      <c r="D49" s="85" t="s">
        <v>251</v>
      </c>
      <c r="E49" s="85"/>
      <c r="F49" s="93"/>
      <c r="G49" s="94"/>
      <c r="H49" s="100"/>
      <c r="I49" s="90" t="s">
        <v>207</v>
      </c>
      <c r="J49" s="95"/>
      <c r="K49" s="13"/>
      <c r="L49" s="9"/>
    </row>
    <row r="50" spans="1:12" ht="15" customHeight="1" x14ac:dyDescent="0.2">
      <c r="A50" s="5"/>
      <c r="B50" s="10"/>
      <c r="C50" s="92" t="s">
        <v>259</v>
      </c>
      <c r="D50" s="85" t="s">
        <v>251</v>
      </c>
      <c r="E50" s="85"/>
      <c r="F50" s="93"/>
      <c r="G50" s="94"/>
      <c r="H50" s="100"/>
      <c r="I50" s="90" t="s">
        <v>207</v>
      </c>
      <c r="J50" s="95"/>
      <c r="K50" s="13"/>
      <c r="L50" s="9"/>
    </row>
    <row r="51" spans="1:12" ht="15" customHeight="1" x14ac:dyDescent="0.2">
      <c r="A51" s="5"/>
      <c r="B51" s="10"/>
      <c r="C51" s="92" t="s">
        <v>260</v>
      </c>
      <c r="D51" s="85" t="s">
        <v>251</v>
      </c>
      <c r="E51" s="85"/>
      <c r="F51" s="93"/>
      <c r="G51" s="94"/>
      <c r="H51" s="100"/>
      <c r="I51" s="90" t="s">
        <v>207</v>
      </c>
      <c r="J51" s="95"/>
      <c r="K51" s="13"/>
      <c r="L51" s="9"/>
    </row>
    <row r="52" spans="1:12" ht="15" customHeight="1" x14ac:dyDescent="0.2">
      <c r="A52" s="5"/>
      <c r="B52" s="10"/>
      <c r="C52" s="92" t="s">
        <v>261</v>
      </c>
      <c r="D52" s="85" t="s">
        <v>251</v>
      </c>
      <c r="E52" s="85"/>
      <c r="F52" s="93"/>
      <c r="G52" s="94"/>
      <c r="H52" s="101"/>
      <c r="I52" s="90" t="s">
        <v>207</v>
      </c>
      <c r="J52" s="95"/>
      <c r="K52" s="13"/>
      <c r="L52" s="9"/>
    </row>
    <row r="53" spans="1:12" ht="15" customHeight="1" x14ac:dyDescent="0.2">
      <c r="A53" s="5"/>
      <c r="B53" s="10"/>
      <c r="C53" s="92"/>
      <c r="D53" s="85"/>
      <c r="E53" s="85"/>
      <c r="F53" s="93"/>
      <c r="G53" s="94"/>
      <c r="H53" s="101"/>
      <c r="I53" s="90"/>
      <c r="J53" s="95"/>
      <c r="K53" s="13"/>
      <c r="L53" s="9"/>
    </row>
    <row r="54" spans="1:12" ht="15" customHeight="1" x14ac:dyDescent="0.2">
      <c r="A54" s="5"/>
      <c r="B54" s="10"/>
      <c r="C54" s="92"/>
      <c r="D54" s="85"/>
      <c r="E54" s="85"/>
      <c r="F54" s="93"/>
      <c r="G54" s="94"/>
      <c r="H54" s="101"/>
      <c r="I54" s="90"/>
      <c r="J54" s="95"/>
      <c r="K54" s="13"/>
      <c r="L54" s="9"/>
    </row>
    <row r="55" spans="1:12" ht="15" customHeight="1" x14ac:dyDescent="0.2">
      <c r="A55" s="5"/>
      <c r="B55" s="10"/>
      <c r="C55" s="92"/>
      <c r="D55" s="85"/>
      <c r="E55" s="85"/>
      <c r="F55" s="93"/>
      <c r="G55" s="94"/>
      <c r="H55" s="101"/>
      <c r="I55" s="90"/>
      <c r="J55" s="95"/>
      <c r="K55" s="13"/>
      <c r="L55" s="9"/>
    </row>
    <row r="56" spans="1:12" ht="15" customHeight="1" x14ac:dyDescent="0.2">
      <c r="A56" s="5"/>
      <c r="B56" s="10"/>
      <c r="C56" s="92"/>
      <c r="D56" s="85"/>
      <c r="E56" s="85"/>
      <c r="F56" s="93"/>
      <c r="G56" s="94"/>
      <c r="H56" s="101"/>
      <c r="I56" s="90"/>
      <c r="J56" s="95"/>
      <c r="K56" s="13"/>
      <c r="L56" s="9"/>
    </row>
    <row r="57" spans="1:12" ht="15" customHeight="1" x14ac:dyDescent="0.2">
      <c r="A57" s="5"/>
      <c r="B57" s="10"/>
      <c r="C57" s="92"/>
      <c r="D57" s="85"/>
      <c r="E57" s="85"/>
      <c r="F57" s="93"/>
      <c r="G57" s="94"/>
      <c r="H57" s="101"/>
      <c r="I57" s="90"/>
      <c r="J57" s="95"/>
      <c r="K57" s="13"/>
      <c r="L57" s="9"/>
    </row>
    <row r="58" spans="1:12" ht="15" customHeight="1" x14ac:dyDescent="0.2">
      <c r="A58" s="5"/>
      <c r="B58" s="10"/>
      <c r="C58" s="92"/>
      <c r="D58" s="85"/>
      <c r="E58" s="85"/>
      <c r="F58" s="93"/>
      <c r="G58" s="94"/>
      <c r="H58" s="101"/>
      <c r="I58" s="90"/>
      <c r="J58" s="95"/>
      <c r="K58" s="13"/>
      <c r="L58" s="9"/>
    </row>
    <row r="59" spans="1:12" ht="15" customHeight="1" x14ac:dyDescent="0.2">
      <c r="A59" s="5"/>
      <c r="B59" s="10"/>
      <c r="C59" s="92"/>
      <c r="D59" s="85"/>
      <c r="E59" s="85"/>
      <c r="F59" s="93"/>
      <c r="G59" s="94"/>
      <c r="H59" s="101"/>
      <c r="I59" s="90"/>
      <c r="J59" s="95"/>
      <c r="K59" s="13"/>
      <c r="L59" s="9"/>
    </row>
    <row r="60" spans="1:12" ht="15" customHeight="1" x14ac:dyDescent="0.2">
      <c r="A60" s="5"/>
      <c r="B60" s="10"/>
      <c r="C60" s="92"/>
      <c r="D60" s="85"/>
      <c r="E60" s="85"/>
      <c r="F60" s="93"/>
      <c r="G60" s="94"/>
      <c r="H60" s="101"/>
      <c r="I60" s="90"/>
      <c r="J60" s="95"/>
      <c r="K60" s="13"/>
      <c r="L60" s="9"/>
    </row>
    <row r="61" spans="1:12" ht="15" customHeight="1" x14ac:dyDescent="0.2">
      <c r="A61" s="5"/>
      <c r="B61" s="10"/>
      <c r="C61" s="92"/>
      <c r="D61" s="85"/>
      <c r="E61" s="85"/>
      <c r="F61" s="93"/>
      <c r="G61" s="94"/>
      <c r="H61" s="101"/>
      <c r="I61" s="90"/>
      <c r="J61" s="95"/>
      <c r="K61" s="13"/>
      <c r="L61" s="9"/>
    </row>
    <row r="62" spans="1:12" ht="15" customHeight="1" x14ac:dyDescent="0.2">
      <c r="A62" s="5"/>
      <c r="B62" s="10"/>
      <c r="C62" s="92"/>
      <c r="D62" s="85"/>
      <c r="E62" s="85"/>
      <c r="F62" s="93"/>
      <c r="G62" s="94"/>
      <c r="H62" s="101"/>
      <c r="I62" s="90"/>
      <c r="J62" s="95"/>
      <c r="K62" s="13"/>
      <c r="L62" s="9"/>
    </row>
    <row r="63" spans="1:12" ht="15" customHeight="1" x14ac:dyDescent="0.2">
      <c r="A63" s="5"/>
      <c r="B63" s="10"/>
      <c r="C63" s="92"/>
      <c r="D63" s="85"/>
      <c r="E63" s="85"/>
      <c r="F63" s="93"/>
      <c r="G63" s="94"/>
      <c r="H63" s="101"/>
      <c r="I63" s="90"/>
      <c r="J63" s="95"/>
      <c r="K63" s="13"/>
      <c r="L63" s="9"/>
    </row>
    <row r="64" spans="1:12" ht="15" customHeight="1" x14ac:dyDescent="0.2">
      <c r="A64" s="5"/>
      <c r="B64" s="10"/>
      <c r="C64" s="92"/>
      <c r="D64" s="85"/>
      <c r="E64" s="85"/>
      <c r="F64" s="93"/>
      <c r="G64" s="94"/>
      <c r="H64" s="101"/>
      <c r="I64" s="90"/>
      <c r="J64" s="95"/>
      <c r="K64" s="13"/>
      <c r="L64" s="9"/>
    </row>
    <row r="65" spans="1:12" ht="15" customHeight="1" x14ac:dyDescent="0.2">
      <c r="A65" s="5"/>
      <c r="B65" s="10"/>
      <c r="C65" s="92"/>
      <c r="D65" s="85"/>
      <c r="E65" s="85"/>
      <c r="F65" s="93"/>
      <c r="G65" s="94"/>
      <c r="H65" s="101"/>
      <c r="I65" s="90"/>
      <c r="J65" s="95"/>
      <c r="K65" s="13"/>
      <c r="L65" s="9"/>
    </row>
    <row r="66" spans="1:12" ht="15" customHeight="1" x14ac:dyDescent="0.2">
      <c r="A66" s="5"/>
      <c r="B66" s="10"/>
      <c r="C66" s="92"/>
      <c r="D66" s="85"/>
      <c r="E66" s="85"/>
      <c r="F66" s="93"/>
      <c r="G66" s="94"/>
      <c r="H66" s="100"/>
      <c r="I66" s="90"/>
      <c r="J66" s="95"/>
      <c r="K66" s="13"/>
      <c r="L66" s="9"/>
    </row>
    <row r="67" spans="1:12" ht="15" customHeight="1" thickBot="1" x14ac:dyDescent="0.25">
      <c r="A67" s="5"/>
      <c r="B67" s="10"/>
      <c r="C67" s="102"/>
      <c r="D67" s="103"/>
      <c r="E67" s="103"/>
      <c r="F67" s="104"/>
      <c r="G67" s="105"/>
      <c r="H67" s="106"/>
      <c r="I67" s="107"/>
      <c r="J67" s="108"/>
      <c r="K67" s="13"/>
      <c r="L67" s="9"/>
    </row>
    <row r="68" spans="1:12" ht="15" customHeight="1" thickBot="1" x14ac:dyDescent="0.25">
      <c r="A68" s="5"/>
      <c r="B68" s="16"/>
      <c r="C68" s="25"/>
      <c r="D68" s="25"/>
      <c r="E68" s="25"/>
      <c r="F68" s="25"/>
      <c r="G68" s="25"/>
      <c r="H68" s="25"/>
      <c r="I68" s="25"/>
      <c r="J68" s="25"/>
      <c r="K68" s="109"/>
      <c r="L68" s="9"/>
    </row>
    <row r="69" spans="1:12" ht="15" customHeight="1" thickBot="1" x14ac:dyDescent="0.25">
      <c r="A69" s="51"/>
      <c r="B69" s="52"/>
      <c r="C69" s="52"/>
      <c r="D69" s="52"/>
      <c r="E69" s="52"/>
      <c r="F69" s="52"/>
      <c r="G69" s="53"/>
      <c r="H69" s="52"/>
      <c r="I69" s="52"/>
      <c r="J69" s="53"/>
      <c r="K69" s="52"/>
      <c r="L69" s="110"/>
    </row>
    <row r="70" spans="1:12" ht="15" customHeight="1" x14ac:dyDescent="0.2"/>
    <row r="71" spans="1:12" ht="15" customHeight="1" x14ac:dyDescent="0.2">
      <c r="A71" s="5"/>
      <c r="B71" s="10"/>
      <c r="C71" s="111"/>
      <c r="D71" s="85"/>
      <c r="E71" s="85"/>
      <c r="F71" s="93"/>
      <c r="G71" s="94"/>
      <c r="H71" s="100"/>
      <c r="I71" s="90"/>
      <c r="J71" s="95"/>
      <c r="K71" s="13"/>
      <c r="L71" s="9"/>
    </row>
    <row r="72" spans="1:12" ht="15" customHeight="1" x14ac:dyDescent="0.2">
      <c r="A72" s="5"/>
      <c r="B72" s="10"/>
      <c r="C72" s="111"/>
      <c r="D72" s="85"/>
      <c r="E72" s="85"/>
      <c r="F72" s="93"/>
      <c r="G72" s="94"/>
      <c r="H72" s="100"/>
      <c r="I72" s="90"/>
      <c r="J72" s="95"/>
      <c r="K72" s="13"/>
      <c r="L72" s="9"/>
    </row>
    <row r="73" spans="1:12" ht="15" customHeight="1" x14ac:dyDescent="0.2">
      <c r="A73" s="5"/>
      <c r="B73" s="10"/>
      <c r="C73" s="111"/>
      <c r="D73" s="85"/>
      <c r="E73" s="85"/>
      <c r="F73" s="93"/>
      <c r="G73" s="94"/>
      <c r="H73" s="100"/>
      <c r="I73" s="90"/>
      <c r="J73" s="95"/>
      <c r="K73" s="13"/>
      <c r="L73" s="9"/>
    </row>
    <row r="74" spans="1:12" ht="15" customHeight="1" x14ac:dyDescent="0.2">
      <c r="A74" s="5"/>
      <c r="B74" s="10"/>
      <c r="C74" s="111"/>
      <c r="D74" s="85"/>
      <c r="E74" s="85"/>
      <c r="F74" s="93"/>
      <c r="G74" s="94"/>
      <c r="H74" s="100"/>
      <c r="I74" s="90"/>
      <c r="J74" s="95"/>
      <c r="K74" s="13"/>
      <c r="L74" s="9"/>
    </row>
    <row r="75" spans="1:12" ht="15" customHeight="1" x14ac:dyDescent="0.2">
      <c r="A75" s="5"/>
      <c r="B75" s="10"/>
      <c r="C75" s="111"/>
      <c r="D75" s="85"/>
      <c r="E75" s="85"/>
      <c r="F75" s="93"/>
      <c r="G75" s="94"/>
      <c r="H75" s="100"/>
      <c r="I75" s="90"/>
      <c r="J75" s="95"/>
      <c r="K75" s="13"/>
      <c r="L75" s="9"/>
    </row>
    <row r="76" spans="1:12" ht="15" customHeight="1" x14ac:dyDescent="0.2">
      <c r="A76" s="5"/>
      <c r="B76" s="10"/>
      <c r="C76" s="111"/>
      <c r="D76" s="85"/>
      <c r="E76" s="85"/>
      <c r="F76" s="93"/>
      <c r="G76" s="94"/>
      <c r="H76" s="100"/>
      <c r="I76" s="90"/>
      <c r="J76" s="95"/>
      <c r="K76" s="13"/>
      <c r="L76" s="9"/>
    </row>
    <row r="77" spans="1:12" ht="15" customHeight="1" x14ac:dyDescent="0.2">
      <c r="A77" s="5"/>
      <c r="B77" s="10"/>
      <c r="C77" s="111"/>
      <c r="D77" s="85"/>
      <c r="E77" s="85"/>
      <c r="F77" s="93"/>
      <c r="G77" s="94"/>
      <c r="H77" s="112"/>
      <c r="I77" s="90"/>
      <c r="J77" s="95"/>
      <c r="K77" s="13"/>
      <c r="L77" s="9"/>
    </row>
    <row r="78" spans="1:12" ht="15" customHeight="1" x14ac:dyDescent="0.2">
      <c r="A78" s="5"/>
      <c r="B78" s="10"/>
      <c r="C78" s="111"/>
      <c r="D78" s="85"/>
      <c r="E78" s="85"/>
      <c r="F78" s="93"/>
      <c r="G78" s="94"/>
      <c r="H78" s="112"/>
      <c r="I78" s="90"/>
      <c r="J78" s="95"/>
      <c r="K78" s="13"/>
      <c r="L78" s="9"/>
    </row>
    <row r="79" spans="1:12" ht="15" customHeight="1" x14ac:dyDescent="0.2">
      <c r="A79" s="5"/>
      <c r="B79" s="10"/>
      <c r="C79" s="111"/>
      <c r="D79" s="85"/>
      <c r="E79" s="85"/>
      <c r="F79" s="93"/>
      <c r="G79" s="94"/>
      <c r="H79" s="100"/>
      <c r="I79" s="90"/>
      <c r="J79" s="95"/>
      <c r="K79" s="13"/>
      <c r="L79" s="9"/>
    </row>
    <row r="80" spans="1:12" ht="15" customHeight="1" x14ac:dyDescent="0.2">
      <c r="A80" s="5"/>
      <c r="B80" s="10"/>
      <c r="C80" s="111"/>
      <c r="D80" s="85"/>
      <c r="E80" s="85"/>
      <c r="F80" s="93"/>
      <c r="G80" s="94"/>
      <c r="H80" s="100"/>
      <c r="I80" s="90"/>
      <c r="J80" s="95"/>
      <c r="K80" s="13"/>
      <c r="L80" s="9"/>
    </row>
    <row r="81" spans="1:12" ht="15" customHeight="1" x14ac:dyDescent="0.2">
      <c r="A81" s="5"/>
      <c r="B81" s="10"/>
      <c r="C81" s="111"/>
      <c r="D81" s="85"/>
      <c r="E81" s="85"/>
      <c r="F81" s="93"/>
      <c r="G81" s="94"/>
      <c r="H81" s="100"/>
      <c r="I81" s="90"/>
      <c r="J81" s="95"/>
      <c r="K81" s="13"/>
      <c r="L81" s="9"/>
    </row>
    <row r="82" spans="1:12" ht="15" customHeight="1" x14ac:dyDescent="0.2">
      <c r="A82" s="5"/>
      <c r="B82" s="10"/>
      <c r="C82" s="111"/>
      <c r="D82" s="85"/>
      <c r="E82" s="85"/>
      <c r="F82" s="93"/>
      <c r="G82" s="94"/>
      <c r="H82" s="100"/>
      <c r="I82" s="113"/>
      <c r="J82" s="95"/>
      <c r="K82" s="13"/>
      <c r="L82" s="9"/>
    </row>
    <row r="83" spans="1:12" ht="15" customHeight="1" x14ac:dyDescent="0.2">
      <c r="A83" s="5"/>
      <c r="B83" s="10"/>
      <c r="C83" s="111"/>
      <c r="D83" s="85"/>
      <c r="E83" s="85"/>
      <c r="F83" s="93"/>
      <c r="G83" s="94"/>
      <c r="H83" s="100"/>
      <c r="I83" s="113"/>
      <c r="J83" s="95"/>
      <c r="K83" s="13"/>
      <c r="L83" s="9"/>
    </row>
    <row r="84" spans="1:12" ht="15" customHeight="1" x14ac:dyDescent="0.2">
      <c r="A84" s="5"/>
      <c r="B84" s="10"/>
      <c r="C84" s="111"/>
      <c r="D84" s="85"/>
      <c r="E84" s="85"/>
      <c r="F84" s="93"/>
      <c r="G84" s="94"/>
      <c r="H84" s="100"/>
      <c r="I84" s="113"/>
      <c r="J84" s="95"/>
      <c r="K84" s="13"/>
      <c r="L84" s="9"/>
    </row>
    <row r="85" spans="1:12" ht="15" customHeight="1" x14ac:dyDescent="0.2">
      <c r="A85" s="5"/>
      <c r="B85" s="10"/>
      <c r="C85" s="111"/>
      <c r="D85" s="85"/>
      <c r="E85" s="85"/>
      <c r="F85" s="93"/>
      <c r="G85" s="94"/>
      <c r="H85" s="100"/>
      <c r="I85" s="113"/>
      <c r="J85" s="95"/>
      <c r="K85" s="13"/>
      <c r="L85" s="9"/>
    </row>
    <row r="86" spans="1:12" ht="15" customHeight="1" x14ac:dyDescent="0.2">
      <c r="A86" s="5"/>
      <c r="B86" s="10"/>
      <c r="C86" s="111"/>
      <c r="D86" s="85"/>
      <c r="E86" s="85"/>
      <c r="F86" s="93"/>
      <c r="G86" s="94"/>
      <c r="H86" s="100"/>
      <c r="I86" s="113"/>
      <c r="J86" s="95"/>
      <c r="K86" s="13"/>
      <c r="L86" s="9"/>
    </row>
    <row r="87" spans="1:12" ht="15" customHeight="1" x14ac:dyDescent="0.2">
      <c r="A87" s="5"/>
      <c r="B87" s="10"/>
      <c r="C87" s="111"/>
      <c r="D87" s="85"/>
      <c r="E87" s="85"/>
      <c r="F87" s="93"/>
      <c r="G87" s="94"/>
      <c r="H87" s="100"/>
      <c r="I87" s="113"/>
      <c r="J87" s="95"/>
      <c r="K87" s="13"/>
      <c r="L87" s="9"/>
    </row>
    <row r="88" spans="1:12" ht="15" customHeight="1" x14ac:dyDescent="0.2">
      <c r="A88" s="5"/>
      <c r="B88" s="10"/>
      <c r="C88" s="111"/>
      <c r="D88" s="85"/>
      <c r="E88" s="85"/>
      <c r="F88" s="93"/>
      <c r="G88" s="94"/>
      <c r="H88" s="100"/>
      <c r="I88" s="113"/>
      <c r="J88" s="95"/>
      <c r="K88" s="13"/>
      <c r="L88" s="9"/>
    </row>
    <row r="89" spans="1:12" ht="15" customHeight="1" x14ac:dyDescent="0.2">
      <c r="A89" s="5"/>
      <c r="B89" s="10"/>
      <c r="C89" s="111"/>
      <c r="D89" s="85"/>
      <c r="E89" s="85"/>
      <c r="F89" s="93"/>
      <c r="G89" s="94"/>
      <c r="H89" s="100"/>
      <c r="I89" s="113"/>
      <c r="J89" s="95"/>
      <c r="K89" s="13"/>
      <c r="L89" s="9"/>
    </row>
    <row r="90" spans="1:12" ht="15" customHeight="1" x14ac:dyDescent="0.2">
      <c r="A90" s="5"/>
      <c r="B90" s="10"/>
      <c r="C90" s="111"/>
      <c r="D90" s="85"/>
      <c r="E90" s="85"/>
      <c r="F90" s="93"/>
      <c r="G90" s="94"/>
      <c r="H90" s="100"/>
      <c r="I90" s="113"/>
      <c r="J90" s="95"/>
      <c r="K90" s="13"/>
      <c r="L90" s="9"/>
    </row>
    <row r="91" spans="1:12" ht="15" customHeight="1" x14ac:dyDescent="0.2">
      <c r="A91" s="5"/>
      <c r="B91" s="10"/>
      <c r="C91" s="111"/>
      <c r="D91" s="85"/>
      <c r="E91" s="85"/>
      <c r="F91" s="93"/>
      <c r="G91" s="94"/>
      <c r="H91" s="100"/>
      <c r="I91" s="113"/>
      <c r="J91" s="95"/>
      <c r="K91" s="13"/>
      <c r="L91" s="9"/>
    </row>
    <row r="92" spans="1:12" ht="15" customHeight="1" x14ac:dyDescent="0.2">
      <c r="A92" s="5"/>
      <c r="B92" s="10"/>
      <c r="C92" s="111"/>
      <c r="D92" s="85"/>
      <c r="E92" s="85"/>
      <c r="F92" s="93"/>
      <c r="G92" s="94"/>
      <c r="H92" s="100"/>
      <c r="I92" s="113"/>
      <c r="J92" s="95"/>
      <c r="K92" s="13"/>
      <c r="L92" s="9"/>
    </row>
    <row r="93" spans="1:12" ht="15" customHeight="1" x14ac:dyDescent="0.2">
      <c r="A93" s="5"/>
      <c r="B93" s="10"/>
      <c r="C93" s="111"/>
      <c r="D93" s="85"/>
      <c r="E93" s="85"/>
      <c r="F93" s="93"/>
      <c r="G93" s="94"/>
      <c r="H93" s="100"/>
      <c r="I93" s="113"/>
      <c r="J93" s="95"/>
      <c r="K93" s="13"/>
      <c r="L93" s="9"/>
    </row>
    <row r="94" spans="1:12" ht="15" customHeight="1" x14ac:dyDescent="0.2">
      <c r="A94" s="5"/>
      <c r="B94" s="10"/>
      <c r="C94" s="111"/>
      <c r="D94" s="85"/>
      <c r="E94" s="85"/>
      <c r="F94" s="93"/>
      <c r="G94" s="94"/>
      <c r="H94" s="100"/>
      <c r="I94" s="113"/>
      <c r="J94" s="95"/>
      <c r="K94" s="13"/>
      <c r="L94" s="9"/>
    </row>
    <row r="95" spans="1:12" ht="15" customHeight="1" x14ac:dyDescent="0.2">
      <c r="A95" s="5"/>
      <c r="B95" s="10"/>
      <c r="C95" s="111"/>
      <c r="D95" s="85"/>
      <c r="E95" s="85"/>
      <c r="F95" s="93"/>
      <c r="G95" s="94"/>
      <c r="H95" s="100"/>
      <c r="I95" s="113"/>
      <c r="J95" s="95"/>
      <c r="K95" s="13"/>
      <c r="L95" s="9"/>
    </row>
    <row r="96" spans="1:12" ht="15" customHeight="1" x14ac:dyDescent="0.2">
      <c r="A96" s="5"/>
      <c r="B96" s="10"/>
      <c r="C96" s="111"/>
      <c r="D96" s="85"/>
      <c r="E96" s="85"/>
      <c r="F96" s="93"/>
      <c r="G96" s="94"/>
      <c r="H96" s="100"/>
      <c r="I96" s="113"/>
      <c r="J96" s="95"/>
      <c r="K96" s="13"/>
      <c r="L96" s="9"/>
    </row>
    <row r="97" spans="1:12" ht="15" customHeight="1" x14ac:dyDescent="0.2">
      <c r="A97" s="5"/>
      <c r="B97" s="10"/>
      <c r="C97" s="111"/>
      <c r="D97" s="85"/>
      <c r="E97" s="85"/>
      <c r="F97" s="93"/>
      <c r="G97" s="94"/>
      <c r="H97" s="100"/>
      <c r="I97" s="113"/>
      <c r="J97" s="95"/>
      <c r="K97" s="13"/>
      <c r="L97" s="9"/>
    </row>
    <row r="98" spans="1:12" ht="15" customHeight="1" x14ac:dyDescent="0.2">
      <c r="A98" s="5"/>
      <c r="B98" s="10"/>
      <c r="C98" s="111"/>
      <c r="D98" s="85"/>
      <c r="E98" s="85"/>
      <c r="F98" s="93"/>
      <c r="G98" s="94"/>
      <c r="H98" s="100"/>
      <c r="I98" s="113"/>
      <c r="J98" s="95"/>
      <c r="K98" s="13"/>
      <c r="L98" s="9"/>
    </row>
    <row r="99" spans="1:12" ht="15" customHeight="1" x14ac:dyDescent="0.2">
      <c r="A99" s="5"/>
      <c r="B99" s="10"/>
      <c r="C99" s="111"/>
      <c r="D99" s="85"/>
      <c r="E99" s="85"/>
      <c r="F99" s="93"/>
      <c r="G99" s="94"/>
      <c r="H99" s="100"/>
      <c r="I99" s="113"/>
      <c r="J99" s="95"/>
      <c r="K99" s="13"/>
      <c r="L99" s="9"/>
    </row>
    <row r="100" spans="1:12" ht="15" customHeight="1" x14ac:dyDescent="0.2">
      <c r="A100" s="5"/>
      <c r="B100" s="10"/>
      <c r="C100" s="111"/>
      <c r="D100" s="85"/>
      <c r="E100" s="85"/>
      <c r="F100" s="93"/>
      <c r="G100" s="94"/>
      <c r="H100" s="101"/>
      <c r="I100" s="113"/>
      <c r="J100" s="95"/>
      <c r="K100" s="13"/>
      <c r="L100" s="9"/>
    </row>
    <row r="101" spans="1:12" ht="15" customHeight="1" x14ac:dyDescent="0.2">
      <c r="A101" s="5"/>
      <c r="B101" s="10"/>
      <c r="C101" s="111"/>
      <c r="D101" s="85"/>
      <c r="E101" s="85"/>
      <c r="F101" s="93"/>
      <c r="G101" s="94"/>
      <c r="H101" s="100"/>
      <c r="I101" s="113"/>
      <c r="J101" s="95"/>
      <c r="K101" s="13"/>
      <c r="L101" s="9"/>
    </row>
    <row r="102" spans="1:12" ht="15" customHeight="1" x14ac:dyDescent="0.2">
      <c r="A102" s="5"/>
      <c r="B102" s="10"/>
      <c r="C102" s="111"/>
      <c r="D102" s="85"/>
      <c r="E102" s="85"/>
      <c r="F102" s="93"/>
      <c r="G102" s="94"/>
      <c r="H102" s="100"/>
      <c r="I102" s="113"/>
      <c r="J102" s="95"/>
      <c r="K102" s="13"/>
      <c r="L102" s="9"/>
    </row>
    <row r="103" spans="1:12" ht="15" customHeight="1" x14ac:dyDescent="0.2">
      <c r="A103" s="5"/>
      <c r="B103" s="10"/>
      <c r="C103" s="111"/>
      <c r="D103" s="85"/>
      <c r="E103" s="85"/>
      <c r="F103" s="93"/>
      <c r="G103" s="94"/>
      <c r="H103" s="100"/>
      <c r="I103" s="113"/>
      <c r="J103" s="95"/>
      <c r="K103" s="13"/>
      <c r="L103" s="9"/>
    </row>
    <row r="104" spans="1:12" ht="15" customHeight="1" x14ac:dyDescent="0.2">
      <c r="A104" s="5"/>
      <c r="B104" s="10"/>
      <c r="C104" s="111"/>
      <c r="D104" s="85"/>
      <c r="E104" s="85"/>
      <c r="F104" s="93"/>
      <c r="G104" s="94"/>
      <c r="H104" s="100"/>
      <c r="I104" s="113"/>
      <c r="J104" s="95"/>
      <c r="K104" s="13"/>
      <c r="L104" s="9"/>
    </row>
    <row r="105" spans="1:12" ht="15" customHeight="1" x14ac:dyDescent="0.2">
      <c r="A105" s="5"/>
      <c r="B105" s="10"/>
      <c r="C105" s="111"/>
      <c r="D105" s="85"/>
      <c r="E105" s="85"/>
      <c r="F105" s="93"/>
      <c r="G105" s="94"/>
      <c r="H105" s="100"/>
      <c r="I105" s="113"/>
      <c r="J105" s="95"/>
      <c r="K105" s="13"/>
      <c r="L105" s="9"/>
    </row>
    <row r="106" spans="1:12" ht="15" customHeight="1" x14ac:dyDescent="0.2">
      <c r="A106" s="5"/>
      <c r="B106" s="10"/>
      <c r="C106" s="111"/>
      <c r="D106" s="85"/>
      <c r="E106" s="85"/>
      <c r="F106" s="93"/>
      <c r="G106" s="94"/>
      <c r="H106" s="100"/>
      <c r="I106" s="113"/>
      <c r="J106" s="95"/>
      <c r="K106" s="13"/>
      <c r="L106" s="9"/>
    </row>
    <row r="107" spans="1:12" ht="15" customHeight="1" x14ac:dyDescent="0.2">
      <c r="A107" s="5"/>
      <c r="B107" s="10"/>
      <c r="C107" s="111"/>
      <c r="D107" s="85"/>
      <c r="E107" s="85"/>
      <c r="F107" s="93"/>
      <c r="G107" s="94"/>
      <c r="H107" s="100"/>
      <c r="I107" s="113"/>
      <c r="J107" s="95"/>
      <c r="K107" s="13"/>
      <c r="L107" s="9"/>
    </row>
    <row r="108" spans="1:12" ht="15" customHeight="1" x14ac:dyDescent="0.2">
      <c r="A108" s="5"/>
      <c r="B108" s="10"/>
      <c r="C108" s="111"/>
      <c r="D108" s="85"/>
      <c r="E108" s="85"/>
      <c r="F108" s="93"/>
      <c r="G108" s="94"/>
      <c r="H108" s="100"/>
      <c r="I108" s="113"/>
      <c r="J108" s="95"/>
      <c r="K108" s="13"/>
      <c r="L108" s="9"/>
    </row>
    <row r="109" spans="1:12" ht="15" customHeight="1" x14ac:dyDescent="0.2">
      <c r="A109" s="5"/>
      <c r="B109" s="10"/>
      <c r="C109" s="111"/>
      <c r="D109" s="85"/>
      <c r="E109" s="85"/>
      <c r="F109" s="93"/>
      <c r="G109" s="94"/>
      <c r="H109" s="100"/>
      <c r="I109" s="113"/>
      <c r="J109" s="95"/>
      <c r="K109" s="13"/>
      <c r="L109" s="9"/>
    </row>
    <row r="110" spans="1:12" ht="15" customHeight="1" x14ac:dyDescent="0.2">
      <c r="A110" s="5"/>
      <c r="B110" s="10"/>
      <c r="C110" s="111"/>
      <c r="D110" s="85"/>
      <c r="E110" s="85"/>
      <c r="F110" s="93"/>
      <c r="G110" s="94"/>
      <c r="H110" s="100"/>
      <c r="I110" s="113"/>
      <c r="J110" s="95"/>
      <c r="K110" s="13"/>
      <c r="L110" s="9"/>
    </row>
    <row r="111" spans="1:12" ht="15" customHeight="1" x14ac:dyDescent="0.2">
      <c r="A111" s="5"/>
      <c r="B111" s="10"/>
      <c r="C111" s="111"/>
      <c r="D111" s="85"/>
      <c r="E111" s="85"/>
      <c r="F111" s="93"/>
      <c r="G111" s="94"/>
      <c r="H111" s="100"/>
      <c r="I111" s="113"/>
      <c r="J111" s="95"/>
      <c r="K111" s="13"/>
      <c r="L111" s="9"/>
    </row>
    <row r="112" spans="1:12" ht="15" customHeight="1" x14ac:dyDescent="0.2">
      <c r="A112" s="5"/>
      <c r="B112" s="10"/>
      <c r="C112" s="111"/>
      <c r="D112" s="85"/>
      <c r="E112" s="85"/>
      <c r="F112" s="93"/>
      <c r="G112" s="94"/>
      <c r="H112" s="100"/>
      <c r="I112" s="113"/>
      <c r="J112" s="95"/>
      <c r="K112" s="13"/>
      <c r="L112" s="9"/>
    </row>
    <row r="113" spans="1:12" ht="15" customHeight="1" x14ac:dyDescent="0.2">
      <c r="A113" s="5"/>
      <c r="B113" s="10"/>
      <c r="C113" s="111"/>
      <c r="D113" s="85"/>
      <c r="E113" s="85"/>
      <c r="F113" s="93"/>
      <c r="G113" s="94"/>
      <c r="H113" s="100"/>
      <c r="I113" s="113"/>
      <c r="J113" s="95"/>
      <c r="K113" s="13"/>
      <c r="L113" s="9"/>
    </row>
    <row r="114" spans="1:12" ht="15" customHeight="1" x14ac:dyDescent="0.2">
      <c r="A114" s="5"/>
      <c r="B114" s="10"/>
      <c r="C114" s="111"/>
      <c r="D114" s="85"/>
      <c r="E114" s="85"/>
      <c r="F114" s="93"/>
      <c r="G114" s="94"/>
      <c r="H114" s="100"/>
      <c r="I114" s="113"/>
      <c r="J114" s="95"/>
      <c r="K114" s="13"/>
      <c r="L114" s="9"/>
    </row>
    <row r="115" spans="1:12" ht="15" customHeight="1" x14ac:dyDescent="0.2">
      <c r="A115" s="5"/>
      <c r="B115" s="10"/>
      <c r="C115" s="111"/>
      <c r="D115" s="85"/>
      <c r="E115" s="85"/>
      <c r="F115" s="93"/>
      <c r="G115" s="94"/>
      <c r="H115" s="100"/>
      <c r="I115" s="113"/>
      <c r="J115" s="95"/>
      <c r="K115" s="13"/>
      <c r="L115" s="9"/>
    </row>
    <row r="116" spans="1:12" ht="15" customHeight="1" x14ac:dyDescent="0.2">
      <c r="A116" s="5"/>
      <c r="B116" s="10"/>
      <c r="C116" s="111"/>
      <c r="D116" s="85"/>
      <c r="E116" s="85"/>
      <c r="F116" s="93"/>
      <c r="G116" s="94"/>
      <c r="H116" s="100"/>
      <c r="I116" s="113"/>
      <c r="J116" s="95"/>
      <c r="K116" s="13"/>
      <c r="L116" s="9"/>
    </row>
    <row r="117" spans="1:12" ht="15" customHeight="1" x14ac:dyDescent="0.2">
      <c r="A117" s="5"/>
      <c r="B117" s="10"/>
      <c r="C117" s="111"/>
      <c r="D117" s="85"/>
      <c r="E117" s="85"/>
      <c r="F117" s="93"/>
      <c r="G117" s="94"/>
      <c r="H117" s="100"/>
      <c r="I117" s="113"/>
      <c r="J117" s="95"/>
      <c r="K117" s="13"/>
      <c r="L117" s="9"/>
    </row>
    <row r="118" spans="1:12" ht="15" customHeight="1" x14ac:dyDescent="0.2">
      <c r="A118" s="5"/>
      <c r="B118" s="10"/>
      <c r="C118" s="111"/>
      <c r="D118" s="85"/>
      <c r="E118" s="85"/>
      <c r="F118" s="93"/>
      <c r="G118" s="94"/>
      <c r="H118" s="100"/>
      <c r="I118" s="113"/>
      <c r="J118" s="95"/>
      <c r="K118" s="13"/>
      <c r="L118" s="9"/>
    </row>
    <row r="119" spans="1:12" ht="15" customHeight="1" x14ac:dyDescent="0.2">
      <c r="A119" s="5"/>
      <c r="B119" s="10"/>
      <c r="C119" s="111"/>
      <c r="D119" s="85"/>
      <c r="E119" s="85"/>
      <c r="F119" s="93"/>
      <c r="G119" s="94"/>
      <c r="H119" s="100"/>
      <c r="I119" s="113"/>
      <c r="J119" s="95"/>
      <c r="K119" s="13"/>
      <c r="L119" s="9"/>
    </row>
    <row r="120" spans="1:12" ht="15" customHeight="1" x14ac:dyDescent="0.2">
      <c r="A120" s="5"/>
      <c r="B120" s="10"/>
      <c r="C120" s="111"/>
      <c r="D120" s="85"/>
      <c r="E120" s="85"/>
      <c r="F120" s="93"/>
      <c r="G120" s="94"/>
      <c r="H120" s="100"/>
      <c r="I120" s="113"/>
      <c r="J120" s="95"/>
      <c r="K120" s="13"/>
      <c r="L120" s="9"/>
    </row>
    <row r="121" spans="1:12" ht="15" customHeight="1" x14ac:dyDescent="0.2">
      <c r="A121" s="5"/>
      <c r="B121" s="10"/>
      <c r="C121" s="111"/>
      <c r="D121" s="85"/>
      <c r="E121" s="85"/>
      <c r="F121" s="93"/>
      <c r="G121" s="94"/>
      <c r="H121" s="100"/>
      <c r="I121" s="113"/>
      <c r="J121" s="95"/>
      <c r="K121" s="13"/>
      <c r="L121" s="9"/>
    </row>
    <row r="122" spans="1:12" ht="15" customHeight="1" x14ac:dyDescent="0.2">
      <c r="A122" s="5"/>
      <c r="B122" s="10"/>
      <c r="C122" s="111"/>
      <c r="D122" s="85"/>
      <c r="E122" s="85"/>
      <c r="F122" s="93"/>
      <c r="G122" s="94"/>
      <c r="H122" s="100"/>
      <c r="I122" s="113"/>
      <c r="J122" s="95"/>
      <c r="K122" s="13"/>
      <c r="L122" s="9"/>
    </row>
    <row r="123" spans="1:12" ht="15" customHeight="1" x14ac:dyDescent="0.2">
      <c r="A123" s="5"/>
      <c r="B123" s="10"/>
      <c r="C123" s="111"/>
      <c r="D123" s="85"/>
      <c r="E123" s="85"/>
      <c r="F123" s="93"/>
      <c r="G123" s="94"/>
      <c r="H123" s="100"/>
      <c r="I123" s="113"/>
      <c r="J123" s="95"/>
      <c r="K123" s="13"/>
      <c r="L123" s="9"/>
    </row>
    <row r="124" spans="1:12" ht="15" customHeight="1" x14ac:dyDescent="0.2">
      <c r="A124" s="5"/>
      <c r="B124" s="10"/>
      <c r="C124" s="111"/>
      <c r="D124" s="85"/>
      <c r="E124" s="85"/>
      <c r="F124" s="93"/>
      <c r="G124" s="94"/>
      <c r="H124" s="100"/>
      <c r="I124" s="113"/>
      <c r="J124" s="95"/>
      <c r="K124" s="13"/>
      <c r="L124" s="9"/>
    </row>
    <row r="125" spans="1:12" ht="15" customHeight="1" x14ac:dyDescent="0.2">
      <c r="A125" s="5"/>
      <c r="B125" s="10"/>
      <c r="C125" s="111"/>
      <c r="D125" s="85"/>
      <c r="E125" s="85"/>
      <c r="F125" s="93"/>
      <c r="G125" s="94"/>
      <c r="H125" s="100"/>
      <c r="I125" s="113"/>
      <c r="J125" s="95"/>
      <c r="K125" s="13"/>
      <c r="L125" s="9"/>
    </row>
    <row r="126" spans="1:12" ht="15" customHeight="1" x14ac:dyDescent="0.2">
      <c r="A126" s="5"/>
      <c r="B126" s="10"/>
      <c r="C126" s="114"/>
      <c r="D126" s="85"/>
      <c r="E126" s="85"/>
      <c r="F126" s="93"/>
      <c r="G126" s="94"/>
      <c r="H126" s="100"/>
      <c r="I126" s="113"/>
      <c r="J126" s="95"/>
      <c r="K126" s="13"/>
      <c r="L126" s="9"/>
    </row>
    <row r="127" spans="1:12" ht="15" customHeight="1" x14ac:dyDescent="0.2">
      <c r="A127" s="5"/>
      <c r="B127" s="10"/>
      <c r="C127" s="114"/>
      <c r="D127" s="85"/>
      <c r="E127" s="85"/>
      <c r="F127" s="93"/>
      <c r="G127" s="94"/>
      <c r="H127" s="100"/>
      <c r="I127" s="113"/>
      <c r="J127" s="95"/>
      <c r="K127" s="13"/>
      <c r="L127" s="9"/>
    </row>
    <row r="128" spans="1:12" ht="15" customHeight="1" x14ac:dyDescent="0.2">
      <c r="A128" s="5"/>
      <c r="B128" s="10"/>
      <c r="C128" s="114"/>
      <c r="D128" s="85"/>
      <c r="E128" s="85"/>
      <c r="F128" s="93"/>
      <c r="G128" s="94"/>
      <c r="H128" s="100"/>
      <c r="I128" s="113"/>
      <c r="J128" s="95"/>
      <c r="K128" s="13"/>
      <c r="L128" s="9"/>
    </row>
    <row r="129" spans="1:12" ht="15" customHeight="1" x14ac:dyDescent="0.2">
      <c r="A129" s="5"/>
      <c r="B129" s="10"/>
      <c r="C129" s="114"/>
      <c r="D129" s="85"/>
      <c r="E129" s="85"/>
      <c r="F129" s="93"/>
      <c r="G129" s="94"/>
      <c r="H129" s="100"/>
      <c r="I129" s="113"/>
      <c r="J129" s="95"/>
      <c r="K129" s="13"/>
      <c r="L129" s="9"/>
    </row>
    <row r="130" spans="1:12" ht="15" customHeight="1" x14ac:dyDescent="0.2">
      <c r="A130" s="5"/>
      <c r="B130" s="10"/>
      <c r="C130" s="114"/>
      <c r="D130" s="85"/>
      <c r="E130" s="85"/>
      <c r="F130" s="93"/>
      <c r="G130" s="94"/>
      <c r="H130" s="100"/>
      <c r="I130" s="113"/>
      <c r="J130" s="95"/>
      <c r="K130" s="13"/>
      <c r="L130" s="9"/>
    </row>
    <row r="131" spans="1:12" ht="15" customHeight="1" x14ac:dyDescent="0.2">
      <c r="A131" s="5"/>
      <c r="B131" s="10"/>
      <c r="C131" s="114"/>
      <c r="D131" s="85"/>
      <c r="E131" s="85"/>
      <c r="F131" s="93"/>
      <c r="G131" s="94"/>
      <c r="H131" s="100"/>
      <c r="I131" s="113"/>
      <c r="J131" s="95"/>
      <c r="K131" s="13"/>
      <c r="L131" s="9"/>
    </row>
    <row r="132" spans="1:12" ht="15" customHeight="1" x14ac:dyDescent="0.2">
      <c r="A132" s="5"/>
      <c r="B132" s="10"/>
      <c r="C132" s="114"/>
      <c r="D132" s="85"/>
      <c r="E132" s="85"/>
      <c r="F132" s="93"/>
      <c r="G132" s="94"/>
      <c r="H132" s="100"/>
      <c r="I132" s="113"/>
      <c r="J132" s="95"/>
      <c r="K132" s="13"/>
      <c r="L132" s="9"/>
    </row>
    <row r="133" spans="1:12" ht="15" customHeight="1" x14ac:dyDescent="0.2">
      <c r="A133" s="5"/>
      <c r="B133" s="10"/>
      <c r="C133" s="114"/>
      <c r="D133" s="85"/>
      <c r="E133" s="85"/>
      <c r="F133" s="93"/>
      <c r="G133" s="94"/>
      <c r="H133" s="100"/>
      <c r="I133" s="113"/>
      <c r="J133" s="95"/>
      <c r="K133" s="13"/>
      <c r="L133" s="9"/>
    </row>
    <row r="134" spans="1:12" ht="15" customHeight="1" x14ac:dyDescent="0.2">
      <c r="A134" s="5"/>
      <c r="B134" s="10"/>
      <c r="C134" s="114"/>
      <c r="D134" s="85"/>
      <c r="E134" s="85"/>
      <c r="F134" s="93"/>
      <c r="G134" s="94"/>
      <c r="H134" s="100"/>
      <c r="I134" s="113"/>
      <c r="J134" s="95"/>
      <c r="K134" s="13"/>
      <c r="L134" s="9"/>
    </row>
    <row r="135" spans="1:12" ht="15" customHeight="1" x14ac:dyDescent="0.2">
      <c r="A135" s="5"/>
      <c r="B135" s="10"/>
      <c r="C135" s="114"/>
      <c r="D135" s="85"/>
      <c r="E135" s="85"/>
      <c r="F135" s="93"/>
      <c r="G135" s="94"/>
      <c r="H135" s="100"/>
      <c r="I135" s="113"/>
      <c r="J135" s="95"/>
      <c r="K135" s="13"/>
      <c r="L135" s="9"/>
    </row>
    <row r="136" spans="1:12" ht="15" customHeight="1" x14ac:dyDescent="0.2">
      <c r="A136" s="5"/>
      <c r="B136" s="10"/>
      <c r="C136" s="114"/>
      <c r="D136" s="85"/>
      <c r="E136" s="85"/>
      <c r="F136" s="93"/>
      <c r="G136" s="94"/>
      <c r="H136" s="100"/>
      <c r="I136" s="113"/>
      <c r="J136" s="95"/>
      <c r="K136" s="13"/>
      <c r="L136" s="9"/>
    </row>
    <row r="137" spans="1:12" ht="15" customHeight="1" x14ac:dyDescent="0.2">
      <c r="A137" s="5"/>
      <c r="B137" s="10"/>
      <c r="C137" s="114"/>
      <c r="D137" s="85"/>
      <c r="E137" s="85"/>
      <c r="F137" s="93"/>
      <c r="G137" s="94"/>
      <c r="H137" s="100"/>
      <c r="I137" s="113"/>
      <c r="J137" s="95"/>
      <c r="K137" s="13"/>
      <c r="L137" s="9"/>
    </row>
    <row r="138" spans="1:12" ht="15" customHeight="1" x14ac:dyDescent="0.2">
      <c r="A138" s="5"/>
      <c r="B138" s="10"/>
      <c r="C138" s="114"/>
      <c r="D138" s="85"/>
      <c r="E138" s="85"/>
      <c r="F138" s="93"/>
      <c r="G138" s="94"/>
      <c r="H138" s="100"/>
      <c r="I138" s="113"/>
      <c r="J138" s="95"/>
      <c r="K138" s="13"/>
      <c r="L138" s="9"/>
    </row>
    <row r="139" spans="1:12" ht="15" customHeight="1" x14ac:dyDescent="0.2">
      <c r="A139" s="5"/>
      <c r="B139" s="10"/>
      <c r="C139" s="114"/>
      <c r="D139" s="85"/>
      <c r="E139" s="85"/>
      <c r="F139" s="93"/>
      <c r="G139" s="94"/>
      <c r="H139" s="100"/>
      <c r="I139" s="113"/>
      <c r="J139" s="95"/>
      <c r="K139" s="13"/>
      <c r="L139" s="9"/>
    </row>
    <row r="140" spans="1:12" ht="15" customHeight="1" x14ac:dyDescent="0.2">
      <c r="A140" s="5"/>
      <c r="B140" s="10"/>
      <c r="C140" s="114"/>
      <c r="D140" s="85"/>
      <c r="E140" s="85"/>
      <c r="F140" s="93"/>
      <c r="G140" s="94"/>
      <c r="H140" s="100"/>
      <c r="I140" s="113"/>
      <c r="J140" s="95"/>
      <c r="K140" s="13"/>
      <c r="L140" s="9"/>
    </row>
    <row r="141" spans="1:12" ht="15" customHeight="1" x14ac:dyDescent="0.2">
      <c r="A141" s="5"/>
      <c r="B141" s="10"/>
      <c r="C141" s="114"/>
      <c r="D141" s="85"/>
      <c r="E141" s="85"/>
      <c r="F141" s="93"/>
      <c r="G141" s="94"/>
      <c r="H141" s="100"/>
      <c r="I141" s="113"/>
      <c r="J141" s="95"/>
      <c r="K141" s="13"/>
      <c r="L141" s="9"/>
    </row>
    <row r="142" spans="1:12" ht="15" customHeight="1" x14ac:dyDescent="0.2">
      <c r="A142" s="5"/>
      <c r="B142" s="10"/>
      <c r="C142" s="114"/>
      <c r="D142" s="85"/>
      <c r="E142" s="85"/>
      <c r="F142" s="93"/>
      <c r="G142" s="94"/>
      <c r="H142" s="100"/>
      <c r="I142" s="113"/>
      <c r="J142" s="95"/>
      <c r="K142" s="13"/>
      <c r="L142" s="9"/>
    </row>
    <row r="143" spans="1:12" ht="15" customHeight="1" x14ac:dyDescent="0.2">
      <c r="A143" s="5"/>
      <c r="B143" s="10"/>
      <c r="C143" s="114"/>
      <c r="D143" s="85"/>
      <c r="E143" s="85"/>
      <c r="F143" s="93"/>
      <c r="G143" s="94"/>
      <c r="H143" s="100"/>
      <c r="I143" s="113"/>
      <c r="J143" s="95"/>
      <c r="K143" s="13"/>
      <c r="L143" s="9"/>
    </row>
    <row r="144" spans="1:12" ht="15" customHeight="1" x14ac:dyDescent="0.2">
      <c r="A144" s="5"/>
      <c r="B144" s="10"/>
      <c r="C144" s="114"/>
      <c r="D144" s="85"/>
      <c r="E144" s="85"/>
      <c r="F144" s="93"/>
      <c r="G144" s="94"/>
      <c r="H144" s="100"/>
      <c r="I144" s="113"/>
      <c r="J144" s="95"/>
      <c r="K144" s="13"/>
      <c r="L144" s="9"/>
    </row>
    <row r="145" spans="1:12" ht="15" customHeight="1" x14ac:dyDescent="0.2">
      <c r="A145" s="5"/>
      <c r="B145" s="10"/>
      <c r="C145" s="114"/>
      <c r="D145" s="85"/>
      <c r="E145" s="85"/>
      <c r="F145" s="93"/>
      <c r="G145" s="94"/>
      <c r="H145" s="115"/>
      <c r="I145" s="113"/>
      <c r="J145" s="95"/>
      <c r="K145" s="13"/>
      <c r="L145" s="9"/>
    </row>
    <row r="146" spans="1:12" ht="15" customHeight="1" x14ac:dyDescent="0.2">
      <c r="A146" s="5"/>
      <c r="B146" s="10"/>
      <c r="C146" s="114"/>
      <c r="D146" s="85"/>
      <c r="E146" s="85"/>
      <c r="F146" s="93"/>
      <c r="G146" s="94"/>
      <c r="H146" s="112"/>
      <c r="I146" s="113"/>
      <c r="J146" s="95"/>
      <c r="K146" s="13"/>
      <c r="L146" s="9"/>
    </row>
    <row r="147" spans="1:12" ht="15" customHeight="1" x14ac:dyDescent="0.2">
      <c r="A147" s="5"/>
      <c r="B147" s="10"/>
      <c r="C147" s="114"/>
      <c r="D147" s="85"/>
      <c r="E147" s="85"/>
      <c r="F147" s="93"/>
      <c r="G147" s="94"/>
      <c r="H147" s="100"/>
      <c r="I147" s="113"/>
      <c r="J147" s="95"/>
      <c r="K147" s="13"/>
      <c r="L147" s="9"/>
    </row>
    <row r="148" spans="1:12" ht="15" customHeight="1" x14ac:dyDescent="0.2">
      <c r="A148" s="5"/>
      <c r="B148" s="10"/>
      <c r="C148" s="114"/>
      <c r="D148" s="85"/>
      <c r="E148" s="85"/>
      <c r="F148" s="93"/>
      <c r="G148" s="94"/>
      <c r="H148" s="100"/>
      <c r="I148" s="113"/>
      <c r="J148" s="95"/>
      <c r="K148" s="13"/>
      <c r="L148" s="9"/>
    </row>
    <row r="149" spans="1:12" ht="15" customHeight="1" x14ac:dyDescent="0.2">
      <c r="A149" s="5"/>
      <c r="B149" s="10"/>
      <c r="C149" s="114"/>
      <c r="D149" s="85"/>
      <c r="E149" s="85"/>
      <c r="F149" s="93"/>
      <c r="G149" s="94"/>
      <c r="H149" s="115"/>
      <c r="I149" s="113"/>
      <c r="J149" s="95"/>
      <c r="K149" s="13"/>
      <c r="L149" s="9"/>
    </row>
    <row r="150" spans="1:12" ht="15" customHeight="1" x14ac:dyDescent="0.2">
      <c r="A150" s="5"/>
      <c r="B150" s="10"/>
      <c r="C150" s="114"/>
      <c r="D150" s="85"/>
      <c r="E150" s="85"/>
      <c r="F150" s="93"/>
      <c r="G150" s="94"/>
      <c r="H150" s="115"/>
      <c r="I150" s="113"/>
      <c r="J150" s="95"/>
      <c r="K150" s="13"/>
      <c r="L150" s="9"/>
    </row>
    <row r="151" spans="1:12" ht="15" customHeight="1" x14ac:dyDescent="0.2">
      <c r="A151" s="5"/>
      <c r="B151" s="10"/>
      <c r="C151" s="114"/>
      <c r="D151" s="85"/>
      <c r="E151" s="85"/>
      <c r="F151" s="93"/>
      <c r="G151" s="94"/>
      <c r="H151" s="115"/>
      <c r="I151" s="113"/>
      <c r="J151" s="95"/>
      <c r="K151" s="13"/>
      <c r="L151" s="9"/>
    </row>
    <row r="152" spans="1:12" ht="15" customHeight="1" x14ac:dyDescent="0.2">
      <c r="A152" s="5"/>
      <c r="B152" s="10"/>
      <c r="C152" s="114"/>
      <c r="D152" s="85"/>
      <c r="E152" s="85"/>
      <c r="F152" s="93"/>
      <c r="G152" s="94"/>
      <c r="H152" s="94"/>
      <c r="I152" s="113"/>
      <c r="J152" s="95"/>
      <c r="K152" s="13"/>
      <c r="L152" s="9"/>
    </row>
    <row r="153" spans="1:12" ht="15" customHeight="1" x14ac:dyDescent="0.2"/>
    <row r="155" spans="1:12" ht="13.15" customHeight="1" x14ac:dyDescent="0.2"/>
    <row r="156" spans="1:12" ht="15" customHeight="1" x14ac:dyDescent="0.2"/>
    <row r="157" spans="1:12" ht="15.75" customHeight="1" x14ac:dyDescent="0.2"/>
  </sheetData>
  <autoFilter ref="C12:J153" xr:uid="{8226621C-0596-4B81-B75A-F44FD80C54C8}">
    <filterColumn colId="0" showButton="0"/>
    <filterColumn colId="1" showButton="0"/>
    <filterColumn colId="2" showButton="0"/>
    <filterColumn colId="4" showButton="0"/>
    <filterColumn colId="5" showButton="0"/>
    <filterColumn colId="6" showButton="0"/>
  </autoFilter>
  <mergeCells count="9">
    <mergeCell ref="C3:J6"/>
    <mergeCell ref="D10:G10"/>
    <mergeCell ref="C12:F14"/>
    <mergeCell ref="G12:J12"/>
    <mergeCell ref="G13:G15"/>
    <mergeCell ref="H13:H15"/>
    <mergeCell ref="I13:I15"/>
    <mergeCell ref="J13:J15"/>
    <mergeCell ref="D15:F15"/>
  </mergeCells>
  <printOptions horizontalCentered="1"/>
  <pageMargins left="0.23622047244094491" right="0.23622047244094491" top="0" bottom="0.74803149606299213" header="0.31496062992125984" footer="0.31496062992125984"/>
  <pageSetup paperSize="9" scale="74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C708-1359-435A-8AD3-17EF2BBDBCEF}">
  <dimension ref="A1:T34"/>
  <sheetViews>
    <sheetView showGridLines="0" zoomScaleNormal="100" zoomScaleSheetLayoutView="100" workbookViewId="0">
      <selection activeCell="Q3" sqref="Q3"/>
    </sheetView>
  </sheetViews>
  <sheetFormatPr defaultRowHeight="12.75" x14ac:dyDescent="0.2"/>
  <cols>
    <col min="1" max="1" width="1.140625" style="4" customWidth="1"/>
    <col min="2" max="2" width="2.7109375" style="4" customWidth="1"/>
    <col min="3" max="3" width="10.7109375" style="4" customWidth="1"/>
    <col min="4" max="7" width="16.28515625" style="4" customWidth="1"/>
    <col min="8" max="8" width="10.5703125" style="4" customWidth="1"/>
    <col min="9" max="9" width="10.28515625" style="4" customWidth="1"/>
    <col min="10" max="10" width="3.28515625" style="4" customWidth="1"/>
    <col min="11" max="11" width="18.42578125" style="4" customWidth="1"/>
    <col min="12" max="12" width="2.7109375" style="4" customWidth="1"/>
    <col min="13" max="13" width="0.85546875" style="4" customWidth="1"/>
    <col min="14" max="14" width="2.7109375" style="4" customWidth="1"/>
    <col min="15" max="18" width="9.140625" style="4"/>
    <col min="19" max="19" width="32.28515625" style="4" customWidth="1"/>
    <col min="20" max="257" width="9.140625" style="4"/>
    <col min="258" max="258" width="2.7109375" style="4" customWidth="1"/>
    <col min="259" max="262" width="9.140625" style="4"/>
    <col min="263" max="263" width="12.85546875" style="4" customWidth="1"/>
    <col min="264" max="265" width="9.140625" style="4"/>
    <col min="266" max="266" width="13.28515625" style="4" customWidth="1"/>
    <col min="267" max="267" width="16.42578125" style="4" bestFit="1" customWidth="1"/>
    <col min="268" max="268" width="2.7109375" style="4" customWidth="1"/>
    <col min="269" max="269" width="15.7109375" style="4" customWidth="1"/>
    <col min="270" max="270" width="2.7109375" style="4" customWidth="1"/>
    <col min="271" max="513" width="9.140625" style="4"/>
    <col min="514" max="514" width="2.7109375" style="4" customWidth="1"/>
    <col min="515" max="518" width="9.140625" style="4"/>
    <col min="519" max="519" width="12.85546875" style="4" customWidth="1"/>
    <col min="520" max="521" width="9.140625" style="4"/>
    <col min="522" max="522" width="13.28515625" style="4" customWidth="1"/>
    <col min="523" max="523" width="16.42578125" style="4" bestFit="1" customWidth="1"/>
    <col min="524" max="524" width="2.7109375" style="4" customWidth="1"/>
    <col min="525" max="525" width="15.7109375" style="4" customWidth="1"/>
    <col min="526" max="526" width="2.7109375" style="4" customWidth="1"/>
    <col min="527" max="769" width="9.140625" style="4"/>
    <col min="770" max="770" width="2.7109375" style="4" customWidth="1"/>
    <col min="771" max="774" width="9.140625" style="4"/>
    <col min="775" max="775" width="12.85546875" style="4" customWidth="1"/>
    <col min="776" max="777" width="9.140625" style="4"/>
    <col min="778" max="778" width="13.28515625" style="4" customWidth="1"/>
    <col min="779" max="779" width="16.42578125" style="4" bestFit="1" customWidth="1"/>
    <col min="780" max="780" width="2.7109375" style="4" customWidth="1"/>
    <col min="781" max="781" width="15.7109375" style="4" customWidth="1"/>
    <col min="782" max="782" width="2.7109375" style="4" customWidth="1"/>
    <col min="783" max="1025" width="9.140625" style="4"/>
    <col min="1026" max="1026" width="2.7109375" style="4" customWidth="1"/>
    <col min="1027" max="1030" width="9.140625" style="4"/>
    <col min="1031" max="1031" width="12.85546875" style="4" customWidth="1"/>
    <col min="1032" max="1033" width="9.140625" style="4"/>
    <col min="1034" max="1034" width="13.28515625" style="4" customWidth="1"/>
    <col min="1035" max="1035" width="16.42578125" style="4" bestFit="1" customWidth="1"/>
    <col min="1036" max="1036" width="2.7109375" style="4" customWidth="1"/>
    <col min="1037" max="1037" width="15.7109375" style="4" customWidth="1"/>
    <col min="1038" max="1038" width="2.7109375" style="4" customWidth="1"/>
    <col min="1039" max="1281" width="9.140625" style="4"/>
    <col min="1282" max="1282" width="2.7109375" style="4" customWidth="1"/>
    <col min="1283" max="1286" width="9.140625" style="4"/>
    <col min="1287" max="1287" width="12.85546875" style="4" customWidth="1"/>
    <col min="1288" max="1289" width="9.140625" style="4"/>
    <col min="1290" max="1290" width="13.28515625" style="4" customWidth="1"/>
    <col min="1291" max="1291" width="16.42578125" style="4" bestFit="1" customWidth="1"/>
    <col min="1292" max="1292" width="2.7109375" style="4" customWidth="1"/>
    <col min="1293" max="1293" width="15.7109375" style="4" customWidth="1"/>
    <col min="1294" max="1294" width="2.7109375" style="4" customWidth="1"/>
    <col min="1295" max="1537" width="9.140625" style="4"/>
    <col min="1538" max="1538" width="2.7109375" style="4" customWidth="1"/>
    <col min="1539" max="1542" width="9.140625" style="4"/>
    <col min="1543" max="1543" width="12.85546875" style="4" customWidth="1"/>
    <col min="1544" max="1545" width="9.140625" style="4"/>
    <col min="1546" max="1546" width="13.28515625" style="4" customWidth="1"/>
    <col min="1547" max="1547" width="16.42578125" style="4" bestFit="1" customWidth="1"/>
    <col min="1548" max="1548" width="2.7109375" style="4" customWidth="1"/>
    <col min="1549" max="1549" width="15.7109375" style="4" customWidth="1"/>
    <col min="1550" max="1550" width="2.7109375" style="4" customWidth="1"/>
    <col min="1551" max="1793" width="9.140625" style="4"/>
    <col min="1794" max="1794" width="2.7109375" style="4" customWidth="1"/>
    <col min="1795" max="1798" width="9.140625" style="4"/>
    <col min="1799" max="1799" width="12.85546875" style="4" customWidth="1"/>
    <col min="1800" max="1801" width="9.140625" style="4"/>
    <col min="1802" max="1802" width="13.28515625" style="4" customWidth="1"/>
    <col min="1803" max="1803" width="16.42578125" style="4" bestFit="1" customWidth="1"/>
    <col min="1804" max="1804" width="2.7109375" style="4" customWidth="1"/>
    <col min="1805" max="1805" width="15.7109375" style="4" customWidth="1"/>
    <col min="1806" max="1806" width="2.7109375" style="4" customWidth="1"/>
    <col min="1807" max="2049" width="9.140625" style="4"/>
    <col min="2050" max="2050" width="2.7109375" style="4" customWidth="1"/>
    <col min="2051" max="2054" width="9.140625" style="4"/>
    <col min="2055" max="2055" width="12.85546875" style="4" customWidth="1"/>
    <col min="2056" max="2057" width="9.140625" style="4"/>
    <col min="2058" max="2058" width="13.28515625" style="4" customWidth="1"/>
    <col min="2059" max="2059" width="16.42578125" style="4" bestFit="1" customWidth="1"/>
    <col min="2060" max="2060" width="2.7109375" style="4" customWidth="1"/>
    <col min="2061" max="2061" width="15.7109375" style="4" customWidth="1"/>
    <col min="2062" max="2062" width="2.7109375" style="4" customWidth="1"/>
    <col min="2063" max="2305" width="9.140625" style="4"/>
    <col min="2306" max="2306" width="2.7109375" style="4" customWidth="1"/>
    <col min="2307" max="2310" width="9.140625" style="4"/>
    <col min="2311" max="2311" width="12.85546875" style="4" customWidth="1"/>
    <col min="2312" max="2313" width="9.140625" style="4"/>
    <col min="2314" max="2314" width="13.28515625" style="4" customWidth="1"/>
    <col min="2315" max="2315" width="16.42578125" style="4" bestFit="1" customWidth="1"/>
    <col min="2316" max="2316" width="2.7109375" style="4" customWidth="1"/>
    <col min="2317" max="2317" width="15.7109375" style="4" customWidth="1"/>
    <col min="2318" max="2318" width="2.7109375" style="4" customWidth="1"/>
    <col min="2319" max="2561" width="9.140625" style="4"/>
    <col min="2562" max="2562" width="2.7109375" style="4" customWidth="1"/>
    <col min="2563" max="2566" width="9.140625" style="4"/>
    <col min="2567" max="2567" width="12.85546875" style="4" customWidth="1"/>
    <col min="2568" max="2569" width="9.140625" style="4"/>
    <col min="2570" max="2570" width="13.28515625" style="4" customWidth="1"/>
    <col min="2571" max="2571" width="16.42578125" style="4" bestFit="1" customWidth="1"/>
    <col min="2572" max="2572" width="2.7109375" style="4" customWidth="1"/>
    <col min="2573" max="2573" width="15.7109375" style="4" customWidth="1"/>
    <col min="2574" max="2574" width="2.7109375" style="4" customWidth="1"/>
    <col min="2575" max="2817" width="9.140625" style="4"/>
    <col min="2818" max="2818" width="2.7109375" style="4" customWidth="1"/>
    <col min="2819" max="2822" width="9.140625" style="4"/>
    <col min="2823" max="2823" width="12.85546875" style="4" customWidth="1"/>
    <col min="2824" max="2825" width="9.140625" style="4"/>
    <col min="2826" max="2826" width="13.28515625" style="4" customWidth="1"/>
    <col min="2827" max="2827" width="16.42578125" style="4" bestFit="1" customWidth="1"/>
    <col min="2828" max="2828" width="2.7109375" style="4" customWidth="1"/>
    <col min="2829" max="2829" width="15.7109375" style="4" customWidth="1"/>
    <col min="2830" max="2830" width="2.7109375" style="4" customWidth="1"/>
    <col min="2831" max="3073" width="9.140625" style="4"/>
    <col min="3074" max="3074" width="2.7109375" style="4" customWidth="1"/>
    <col min="3075" max="3078" width="9.140625" style="4"/>
    <col min="3079" max="3079" width="12.85546875" style="4" customWidth="1"/>
    <col min="3080" max="3081" width="9.140625" style="4"/>
    <col min="3082" max="3082" width="13.28515625" style="4" customWidth="1"/>
    <col min="3083" max="3083" width="16.42578125" style="4" bestFit="1" customWidth="1"/>
    <col min="3084" max="3084" width="2.7109375" style="4" customWidth="1"/>
    <col min="3085" max="3085" width="15.7109375" style="4" customWidth="1"/>
    <col min="3086" max="3086" width="2.7109375" style="4" customWidth="1"/>
    <col min="3087" max="3329" width="9.140625" style="4"/>
    <col min="3330" max="3330" width="2.7109375" style="4" customWidth="1"/>
    <col min="3331" max="3334" width="9.140625" style="4"/>
    <col min="3335" max="3335" width="12.85546875" style="4" customWidth="1"/>
    <col min="3336" max="3337" width="9.140625" style="4"/>
    <col min="3338" max="3338" width="13.28515625" style="4" customWidth="1"/>
    <col min="3339" max="3339" width="16.42578125" style="4" bestFit="1" customWidth="1"/>
    <col min="3340" max="3340" width="2.7109375" style="4" customWidth="1"/>
    <col min="3341" max="3341" width="15.7109375" style="4" customWidth="1"/>
    <col min="3342" max="3342" width="2.7109375" style="4" customWidth="1"/>
    <col min="3343" max="3585" width="9.140625" style="4"/>
    <col min="3586" max="3586" width="2.7109375" style="4" customWidth="1"/>
    <col min="3587" max="3590" width="9.140625" style="4"/>
    <col min="3591" max="3591" width="12.85546875" style="4" customWidth="1"/>
    <col min="3592" max="3593" width="9.140625" style="4"/>
    <col min="3594" max="3594" width="13.28515625" style="4" customWidth="1"/>
    <col min="3595" max="3595" width="16.42578125" style="4" bestFit="1" customWidth="1"/>
    <col min="3596" max="3596" width="2.7109375" style="4" customWidth="1"/>
    <col min="3597" max="3597" width="15.7109375" style="4" customWidth="1"/>
    <col min="3598" max="3598" width="2.7109375" style="4" customWidth="1"/>
    <col min="3599" max="3841" width="9.140625" style="4"/>
    <col min="3842" max="3842" width="2.7109375" style="4" customWidth="1"/>
    <col min="3843" max="3846" width="9.140625" style="4"/>
    <col min="3847" max="3847" width="12.85546875" style="4" customWidth="1"/>
    <col min="3848" max="3849" width="9.140625" style="4"/>
    <col min="3850" max="3850" width="13.28515625" style="4" customWidth="1"/>
    <col min="3851" max="3851" width="16.42578125" style="4" bestFit="1" customWidth="1"/>
    <col min="3852" max="3852" width="2.7109375" style="4" customWidth="1"/>
    <col min="3853" max="3853" width="15.7109375" style="4" customWidth="1"/>
    <col min="3854" max="3854" width="2.7109375" style="4" customWidth="1"/>
    <col min="3855" max="4097" width="9.140625" style="4"/>
    <col min="4098" max="4098" width="2.7109375" style="4" customWidth="1"/>
    <col min="4099" max="4102" width="9.140625" style="4"/>
    <col min="4103" max="4103" width="12.85546875" style="4" customWidth="1"/>
    <col min="4104" max="4105" width="9.140625" style="4"/>
    <col min="4106" max="4106" width="13.28515625" style="4" customWidth="1"/>
    <col min="4107" max="4107" width="16.42578125" style="4" bestFit="1" customWidth="1"/>
    <col min="4108" max="4108" width="2.7109375" style="4" customWidth="1"/>
    <col min="4109" max="4109" width="15.7109375" style="4" customWidth="1"/>
    <col min="4110" max="4110" width="2.7109375" style="4" customWidth="1"/>
    <col min="4111" max="4353" width="9.140625" style="4"/>
    <col min="4354" max="4354" width="2.7109375" style="4" customWidth="1"/>
    <col min="4355" max="4358" width="9.140625" style="4"/>
    <col min="4359" max="4359" width="12.85546875" style="4" customWidth="1"/>
    <col min="4360" max="4361" width="9.140625" style="4"/>
    <col min="4362" max="4362" width="13.28515625" style="4" customWidth="1"/>
    <col min="4363" max="4363" width="16.42578125" style="4" bestFit="1" customWidth="1"/>
    <col min="4364" max="4364" width="2.7109375" style="4" customWidth="1"/>
    <col min="4365" max="4365" width="15.7109375" style="4" customWidth="1"/>
    <col min="4366" max="4366" width="2.7109375" style="4" customWidth="1"/>
    <col min="4367" max="4609" width="9.140625" style="4"/>
    <col min="4610" max="4610" width="2.7109375" style="4" customWidth="1"/>
    <col min="4611" max="4614" width="9.140625" style="4"/>
    <col min="4615" max="4615" width="12.85546875" style="4" customWidth="1"/>
    <col min="4616" max="4617" width="9.140625" style="4"/>
    <col min="4618" max="4618" width="13.28515625" style="4" customWidth="1"/>
    <col min="4619" max="4619" width="16.42578125" style="4" bestFit="1" customWidth="1"/>
    <col min="4620" max="4620" width="2.7109375" style="4" customWidth="1"/>
    <col min="4621" max="4621" width="15.7109375" style="4" customWidth="1"/>
    <col min="4622" max="4622" width="2.7109375" style="4" customWidth="1"/>
    <col min="4623" max="4865" width="9.140625" style="4"/>
    <col min="4866" max="4866" width="2.7109375" style="4" customWidth="1"/>
    <col min="4867" max="4870" width="9.140625" style="4"/>
    <col min="4871" max="4871" width="12.85546875" style="4" customWidth="1"/>
    <col min="4872" max="4873" width="9.140625" style="4"/>
    <col min="4874" max="4874" width="13.28515625" style="4" customWidth="1"/>
    <col min="4875" max="4875" width="16.42578125" style="4" bestFit="1" customWidth="1"/>
    <col min="4876" max="4876" width="2.7109375" style="4" customWidth="1"/>
    <col min="4877" max="4877" width="15.7109375" style="4" customWidth="1"/>
    <col min="4878" max="4878" width="2.7109375" style="4" customWidth="1"/>
    <col min="4879" max="5121" width="9.140625" style="4"/>
    <col min="5122" max="5122" width="2.7109375" style="4" customWidth="1"/>
    <col min="5123" max="5126" width="9.140625" style="4"/>
    <col min="5127" max="5127" width="12.85546875" style="4" customWidth="1"/>
    <col min="5128" max="5129" width="9.140625" style="4"/>
    <col min="5130" max="5130" width="13.28515625" style="4" customWidth="1"/>
    <col min="5131" max="5131" width="16.42578125" style="4" bestFit="1" customWidth="1"/>
    <col min="5132" max="5132" width="2.7109375" style="4" customWidth="1"/>
    <col min="5133" max="5133" width="15.7109375" style="4" customWidth="1"/>
    <col min="5134" max="5134" width="2.7109375" style="4" customWidth="1"/>
    <col min="5135" max="5377" width="9.140625" style="4"/>
    <col min="5378" max="5378" width="2.7109375" style="4" customWidth="1"/>
    <col min="5379" max="5382" width="9.140625" style="4"/>
    <col min="5383" max="5383" width="12.85546875" style="4" customWidth="1"/>
    <col min="5384" max="5385" width="9.140625" style="4"/>
    <col min="5386" max="5386" width="13.28515625" style="4" customWidth="1"/>
    <col min="5387" max="5387" width="16.42578125" style="4" bestFit="1" customWidth="1"/>
    <col min="5388" max="5388" width="2.7109375" style="4" customWidth="1"/>
    <col min="5389" max="5389" width="15.7109375" style="4" customWidth="1"/>
    <col min="5390" max="5390" width="2.7109375" style="4" customWidth="1"/>
    <col min="5391" max="5633" width="9.140625" style="4"/>
    <col min="5634" max="5634" width="2.7109375" style="4" customWidth="1"/>
    <col min="5635" max="5638" width="9.140625" style="4"/>
    <col min="5639" max="5639" width="12.85546875" style="4" customWidth="1"/>
    <col min="5640" max="5641" width="9.140625" style="4"/>
    <col min="5642" max="5642" width="13.28515625" style="4" customWidth="1"/>
    <col min="5643" max="5643" width="16.42578125" style="4" bestFit="1" customWidth="1"/>
    <col min="5644" max="5644" width="2.7109375" style="4" customWidth="1"/>
    <col min="5645" max="5645" width="15.7109375" style="4" customWidth="1"/>
    <col min="5646" max="5646" width="2.7109375" style="4" customWidth="1"/>
    <col min="5647" max="5889" width="9.140625" style="4"/>
    <col min="5890" max="5890" width="2.7109375" style="4" customWidth="1"/>
    <col min="5891" max="5894" width="9.140625" style="4"/>
    <col min="5895" max="5895" width="12.85546875" style="4" customWidth="1"/>
    <col min="5896" max="5897" width="9.140625" style="4"/>
    <col min="5898" max="5898" width="13.28515625" style="4" customWidth="1"/>
    <col min="5899" max="5899" width="16.42578125" style="4" bestFit="1" customWidth="1"/>
    <col min="5900" max="5900" width="2.7109375" style="4" customWidth="1"/>
    <col min="5901" max="5901" width="15.7109375" style="4" customWidth="1"/>
    <col min="5902" max="5902" width="2.7109375" style="4" customWidth="1"/>
    <col min="5903" max="6145" width="9.140625" style="4"/>
    <col min="6146" max="6146" width="2.7109375" style="4" customWidth="1"/>
    <col min="6147" max="6150" width="9.140625" style="4"/>
    <col min="6151" max="6151" width="12.85546875" style="4" customWidth="1"/>
    <col min="6152" max="6153" width="9.140625" style="4"/>
    <col min="6154" max="6154" width="13.28515625" style="4" customWidth="1"/>
    <col min="6155" max="6155" width="16.42578125" style="4" bestFit="1" customWidth="1"/>
    <col min="6156" max="6156" width="2.7109375" style="4" customWidth="1"/>
    <col min="6157" max="6157" width="15.7109375" style="4" customWidth="1"/>
    <col min="6158" max="6158" width="2.7109375" style="4" customWidth="1"/>
    <col min="6159" max="6401" width="9.140625" style="4"/>
    <col min="6402" max="6402" width="2.7109375" style="4" customWidth="1"/>
    <col min="6403" max="6406" width="9.140625" style="4"/>
    <col min="6407" max="6407" width="12.85546875" style="4" customWidth="1"/>
    <col min="6408" max="6409" width="9.140625" style="4"/>
    <col min="6410" max="6410" width="13.28515625" style="4" customWidth="1"/>
    <col min="6411" max="6411" width="16.42578125" style="4" bestFit="1" customWidth="1"/>
    <col min="6412" max="6412" width="2.7109375" style="4" customWidth="1"/>
    <col min="6413" max="6413" width="15.7109375" style="4" customWidth="1"/>
    <col min="6414" max="6414" width="2.7109375" style="4" customWidth="1"/>
    <col min="6415" max="6657" width="9.140625" style="4"/>
    <col min="6658" max="6658" width="2.7109375" style="4" customWidth="1"/>
    <col min="6659" max="6662" width="9.140625" style="4"/>
    <col min="6663" max="6663" width="12.85546875" style="4" customWidth="1"/>
    <col min="6664" max="6665" width="9.140625" style="4"/>
    <col min="6666" max="6666" width="13.28515625" style="4" customWidth="1"/>
    <col min="6667" max="6667" width="16.42578125" style="4" bestFit="1" customWidth="1"/>
    <col min="6668" max="6668" width="2.7109375" style="4" customWidth="1"/>
    <col min="6669" max="6669" width="15.7109375" style="4" customWidth="1"/>
    <col min="6670" max="6670" width="2.7109375" style="4" customWidth="1"/>
    <col min="6671" max="6913" width="9.140625" style="4"/>
    <col min="6914" max="6914" width="2.7109375" style="4" customWidth="1"/>
    <col min="6915" max="6918" width="9.140625" style="4"/>
    <col min="6919" max="6919" width="12.85546875" style="4" customWidth="1"/>
    <col min="6920" max="6921" width="9.140625" style="4"/>
    <col min="6922" max="6922" width="13.28515625" style="4" customWidth="1"/>
    <col min="6923" max="6923" width="16.42578125" style="4" bestFit="1" customWidth="1"/>
    <col min="6924" max="6924" width="2.7109375" style="4" customWidth="1"/>
    <col min="6925" max="6925" width="15.7109375" style="4" customWidth="1"/>
    <col min="6926" max="6926" width="2.7109375" style="4" customWidth="1"/>
    <col min="6927" max="7169" width="9.140625" style="4"/>
    <col min="7170" max="7170" width="2.7109375" style="4" customWidth="1"/>
    <col min="7171" max="7174" width="9.140625" style="4"/>
    <col min="7175" max="7175" width="12.85546875" style="4" customWidth="1"/>
    <col min="7176" max="7177" width="9.140625" style="4"/>
    <col min="7178" max="7178" width="13.28515625" style="4" customWidth="1"/>
    <col min="7179" max="7179" width="16.42578125" style="4" bestFit="1" customWidth="1"/>
    <col min="7180" max="7180" width="2.7109375" style="4" customWidth="1"/>
    <col min="7181" max="7181" width="15.7109375" style="4" customWidth="1"/>
    <col min="7182" max="7182" width="2.7109375" style="4" customWidth="1"/>
    <col min="7183" max="7425" width="9.140625" style="4"/>
    <col min="7426" max="7426" width="2.7109375" style="4" customWidth="1"/>
    <col min="7427" max="7430" width="9.140625" style="4"/>
    <col min="7431" max="7431" width="12.85546875" style="4" customWidth="1"/>
    <col min="7432" max="7433" width="9.140625" style="4"/>
    <col min="7434" max="7434" width="13.28515625" style="4" customWidth="1"/>
    <col min="7435" max="7435" width="16.42578125" style="4" bestFit="1" customWidth="1"/>
    <col min="7436" max="7436" width="2.7109375" style="4" customWidth="1"/>
    <col min="7437" max="7437" width="15.7109375" style="4" customWidth="1"/>
    <col min="7438" max="7438" width="2.7109375" style="4" customWidth="1"/>
    <col min="7439" max="7681" width="9.140625" style="4"/>
    <col min="7682" max="7682" width="2.7109375" style="4" customWidth="1"/>
    <col min="7683" max="7686" width="9.140625" style="4"/>
    <col min="7687" max="7687" width="12.85546875" style="4" customWidth="1"/>
    <col min="7688" max="7689" width="9.140625" style="4"/>
    <col min="7690" max="7690" width="13.28515625" style="4" customWidth="1"/>
    <col min="7691" max="7691" width="16.42578125" style="4" bestFit="1" customWidth="1"/>
    <col min="7692" max="7692" width="2.7109375" style="4" customWidth="1"/>
    <col min="7693" max="7693" width="15.7109375" style="4" customWidth="1"/>
    <col min="7694" max="7694" width="2.7109375" style="4" customWidth="1"/>
    <col min="7695" max="7937" width="9.140625" style="4"/>
    <col min="7938" max="7938" width="2.7109375" style="4" customWidth="1"/>
    <col min="7939" max="7942" width="9.140625" style="4"/>
    <col min="7943" max="7943" width="12.85546875" style="4" customWidth="1"/>
    <col min="7944" max="7945" width="9.140625" style="4"/>
    <col min="7946" max="7946" width="13.28515625" style="4" customWidth="1"/>
    <col min="7947" max="7947" width="16.42578125" style="4" bestFit="1" customWidth="1"/>
    <col min="7948" max="7948" width="2.7109375" style="4" customWidth="1"/>
    <col min="7949" max="7949" width="15.7109375" style="4" customWidth="1"/>
    <col min="7950" max="7950" width="2.7109375" style="4" customWidth="1"/>
    <col min="7951" max="8193" width="9.140625" style="4"/>
    <col min="8194" max="8194" width="2.7109375" style="4" customWidth="1"/>
    <col min="8195" max="8198" width="9.140625" style="4"/>
    <col min="8199" max="8199" width="12.85546875" style="4" customWidth="1"/>
    <col min="8200" max="8201" width="9.140625" style="4"/>
    <col min="8202" max="8202" width="13.28515625" style="4" customWidth="1"/>
    <col min="8203" max="8203" width="16.42578125" style="4" bestFit="1" customWidth="1"/>
    <col min="8204" max="8204" width="2.7109375" style="4" customWidth="1"/>
    <col min="8205" max="8205" width="15.7109375" style="4" customWidth="1"/>
    <col min="8206" max="8206" width="2.7109375" style="4" customWidth="1"/>
    <col min="8207" max="8449" width="9.140625" style="4"/>
    <col min="8450" max="8450" width="2.7109375" style="4" customWidth="1"/>
    <col min="8451" max="8454" width="9.140625" style="4"/>
    <col min="8455" max="8455" width="12.85546875" style="4" customWidth="1"/>
    <col min="8456" max="8457" width="9.140625" style="4"/>
    <col min="8458" max="8458" width="13.28515625" style="4" customWidth="1"/>
    <col min="8459" max="8459" width="16.42578125" style="4" bestFit="1" customWidth="1"/>
    <col min="8460" max="8460" width="2.7109375" style="4" customWidth="1"/>
    <col min="8461" max="8461" width="15.7109375" style="4" customWidth="1"/>
    <col min="8462" max="8462" width="2.7109375" style="4" customWidth="1"/>
    <col min="8463" max="8705" width="9.140625" style="4"/>
    <col min="8706" max="8706" width="2.7109375" style="4" customWidth="1"/>
    <col min="8707" max="8710" width="9.140625" style="4"/>
    <col min="8711" max="8711" width="12.85546875" style="4" customWidth="1"/>
    <col min="8712" max="8713" width="9.140625" style="4"/>
    <col min="8714" max="8714" width="13.28515625" style="4" customWidth="1"/>
    <col min="8715" max="8715" width="16.42578125" style="4" bestFit="1" customWidth="1"/>
    <col min="8716" max="8716" width="2.7109375" style="4" customWidth="1"/>
    <col min="8717" max="8717" width="15.7109375" style="4" customWidth="1"/>
    <col min="8718" max="8718" width="2.7109375" style="4" customWidth="1"/>
    <col min="8719" max="8961" width="9.140625" style="4"/>
    <col min="8962" max="8962" width="2.7109375" style="4" customWidth="1"/>
    <col min="8963" max="8966" width="9.140625" style="4"/>
    <col min="8967" max="8967" width="12.85546875" style="4" customWidth="1"/>
    <col min="8968" max="8969" width="9.140625" style="4"/>
    <col min="8970" max="8970" width="13.28515625" style="4" customWidth="1"/>
    <col min="8971" max="8971" width="16.42578125" style="4" bestFit="1" customWidth="1"/>
    <col min="8972" max="8972" width="2.7109375" style="4" customWidth="1"/>
    <col min="8973" max="8973" width="15.7109375" style="4" customWidth="1"/>
    <col min="8974" max="8974" width="2.7109375" style="4" customWidth="1"/>
    <col min="8975" max="9217" width="9.140625" style="4"/>
    <col min="9218" max="9218" width="2.7109375" style="4" customWidth="1"/>
    <col min="9219" max="9222" width="9.140625" style="4"/>
    <col min="9223" max="9223" width="12.85546875" style="4" customWidth="1"/>
    <col min="9224" max="9225" width="9.140625" style="4"/>
    <col min="9226" max="9226" width="13.28515625" style="4" customWidth="1"/>
    <col min="9227" max="9227" width="16.42578125" style="4" bestFit="1" customWidth="1"/>
    <col min="9228" max="9228" width="2.7109375" style="4" customWidth="1"/>
    <col min="9229" max="9229" width="15.7109375" style="4" customWidth="1"/>
    <col min="9230" max="9230" width="2.7109375" style="4" customWidth="1"/>
    <col min="9231" max="9473" width="9.140625" style="4"/>
    <col min="9474" max="9474" width="2.7109375" style="4" customWidth="1"/>
    <col min="9475" max="9478" width="9.140625" style="4"/>
    <col min="9479" max="9479" width="12.85546875" style="4" customWidth="1"/>
    <col min="9480" max="9481" width="9.140625" style="4"/>
    <col min="9482" max="9482" width="13.28515625" style="4" customWidth="1"/>
    <col min="9483" max="9483" width="16.42578125" style="4" bestFit="1" customWidth="1"/>
    <col min="9484" max="9484" width="2.7109375" style="4" customWidth="1"/>
    <col min="9485" max="9485" width="15.7109375" style="4" customWidth="1"/>
    <col min="9486" max="9486" width="2.7109375" style="4" customWidth="1"/>
    <col min="9487" max="9729" width="9.140625" style="4"/>
    <col min="9730" max="9730" width="2.7109375" style="4" customWidth="1"/>
    <col min="9731" max="9734" width="9.140625" style="4"/>
    <col min="9735" max="9735" width="12.85546875" style="4" customWidth="1"/>
    <col min="9736" max="9737" width="9.140625" style="4"/>
    <col min="9738" max="9738" width="13.28515625" style="4" customWidth="1"/>
    <col min="9739" max="9739" width="16.42578125" style="4" bestFit="1" customWidth="1"/>
    <col min="9740" max="9740" width="2.7109375" style="4" customWidth="1"/>
    <col min="9741" max="9741" width="15.7109375" style="4" customWidth="1"/>
    <col min="9742" max="9742" width="2.7109375" style="4" customWidth="1"/>
    <col min="9743" max="9985" width="9.140625" style="4"/>
    <col min="9986" max="9986" width="2.7109375" style="4" customWidth="1"/>
    <col min="9987" max="9990" width="9.140625" style="4"/>
    <col min="9991" max="9991" width="12.85546875" style="4" customWidth="1"/>
    <col min="9992" max="9993" width="9.140625" style="4"/>
    <col min="9994" max="9994" width="13.28515625" style="4" customWidth="1"/>
    <col min="9995" max="9995" width="16.42578125" style="4" bestFit="1" customWidth="1"/>
    <col min="9996" max="9996" width="2.7109375" style="4" customWidth="1"/>
    <col min="9997" max="9997" width="15.7109375" style="4" customWidth="1"/>
    <col min="9998" max="9998" width="2.7109375" style="4" customWidth="1"/>
    <col min="9999" max="10241" width="9.140625" style="4"/>
    <col min="10242" max="10242" width="2.7109375" style="4" customWidth="1"/>
    <col min="10243" max="10246" width="9.140625" style="4"/>
    <col min="10247" max="10247" width="12.85546875" style="4" customWidth="1"/>
    <col min="10248" max="10249" width="9.140625" style="4"/>
    <col min="10250" max="10250" width="13.28515625" style="4" customWidth="1"/>
    <col min="10251" max="10251" width="16.42578125" style="4" bestFit="1" customWidth="1"/>
    <col min="10252" max="10252" width="2.7109375" style="4" customWidth="1"/>
    <col min="10253" max="10253" width="15.7109375" style="4" customWidth="1"/>
    <col min="10254" max="10254" width="2.7109375" style="4" customWidth="1"/>
    <col min="10255" max="10497" width="9.140625" style="4"/>
    <col min="10498" max="10498" width="2.7109375" style="4" customWidth="1"/>
    <col min="10499" max="10502" width="9.140625" style="4"/>
    <col min="10503" max="10503" width="12.85546875" style="4" customWidth="1"/>
    <col min="10504" max="10505" width="9.140625" style="4"/>
    <col min="10506" max="10506" width="13.28515625" style="4" customWidth="1"/>
    <col min="10507" max="10507" width="16.42578125" style="4" bestFit="1" customWidth="1"/>
    <col min="10508" max="10508" width="2.7109375" style="4" customWidth="1"/>
    <col min="10509" max="10509" width="15.7109375" style="4" customWidth="1"/>
    <col min="10510" max="10510" width="2.7109375" style="4" customWidth="1"/>
    <col min="10511" max="10753" width="9.140625" style="4"/>
    <col min="10754" max="10754" width="2.7109375" style="4" customWidth="1"/>
    <col min="10755" max="10758" width="9.140625" style="4"/>
    <col min="10759" max="10759" width="12.85546875" style="4" customWidth="1"/>
    <col min="10760" max="10761" width="9.140625" style="4"/>
    <col min="10762" max="10762" width="13.28515625" style="4" customWidth="1"/>
    <col min="10763" max="10763" width="16.42578125" style="4" bestFit="1" customWidth="1"/>
    <col min="10764" max="10764" width="2.7109375" style="4" customWidth="1"/>
    <col min="10765" max="10765" width="15.7109375" style="4" customWidth="1"/>
    <col min="10766" max="10766" width="2.7109375" style="4" customWidth="1"/>
    <col min="10767" max="11009" width="9.140625" style="4"/>
    <col min="11010" max="11010" width="2.7109375" style="4" customWidth="1"/>
    <col min="11011" max="11014" width="9.140625" style="4"/>
    <col min="11015" max="11015" width="12.85546875" style="4" customWidth="1"/>
    <col min="11016" max="11017" width="9.140625" style="4"/>
    <col min="11018" max="11018" width="13.28515625" style="4" customWidth="1"/>
    <col min="11019" max="11019" width="16.42578125" style="4" bestFit="1" customWidth="1"/>
    <col min="11020" max="11020" width="2.7109375" style="4" customWidth="1"/>
    <col min="11021" max="11021" width="15.7109375" style="4" customWidth="1"/>
    <col min="11022" max="11022" width="2.7109375" style="4" customWidth="1"/>
    <col min="11023" max="11265" width="9.140625" style="4"/>
    <col min="11266" max="11266" width="2.7109375" style="4" customWidth="1"/>
    <col min="11267" max="11270" width="9.140625" style="4"/>
    <col min="11271" max="11271" width="12.85546875" style="4" customWidth="1"/>
    <col min="11272" max="11273" width="9.140625" style="4"/>
    <col min="11274" max="11274" width="13.28515625" style="4" customWidth="1"/>
    <col min="11275" max="11275" width="16.42578125" style="4" bestFit="1" customWidth="1"/>
    <col min="11276" max="11276" width="2.7109375" style="4" customWidth="1"/>
    <col min="11277" max="11277" width="15.7109375" style="4" customWidth="1"/>
    <col min="11278" max="11278" width="2.7109375" style="4" customWidth="1"/>
    <col min="11279" max="11521" width="9.140625" style="4"/>
    <col min="11522" max="11522" width="2.7109375" style="4" customWidth="1"/>
    <col min="11523" max="11526" width="9.140625" style="4"/>
    <col min="11527" max="11527" width="12.85546875" style="4" customWidth="1"/>
    <col min="11528" max="11529" width="9.140625" style="4"/>
    <col min="11530" max="11530" width="13.28515625" style="4" customWidth="1"/>
    <col min="11531" max="11531" width="16.42578125" style="4" bestFit="1" customWidth="1"/>
    <col min="11532" max="11532" width="2.7109375" style="4" customWidth="1"/>
    <col min="11533" max="11533" width="15.7109375" style="4" customWidth="1"/>
    <col min="11534" max="11534" width="2.7109375" style="4" customWidth="1"/>
    <col min="11535" max="11777" width="9.140625" style="4"/>
    <col min="11778" max="11778" width="2.7109375" style="4" customWidth="1"/>
    <col min="11779" max="11782" width="9.140625" style="4"/>
    <col min="11783" max="11783" width="12.85546875" style="4" customWidth="1"/>
    <col min="11784" max="11785" width="9.140625" style="4"/>
    <col min="11786" max="11786" width="13.28515625" style="4" customWidth="1"/>
    <col min="11787" max="11787" width="16.42578125" style="4" bestFit="1" customWidth="1"/>
    <col min="11788" max="11788" width="2.7109375" style="4" customWidth="1"/>
    <col min="11789" max="11789" width="15.7109375" style="4" customWidth="1"/>
    <col min="11790" max="11790" width="2.7109375" style="4" customWidth="1"/>
    <col min="11791" max="12033" width="9.140625" style="4"/>
    <col min="12034" max="12034" width="2.7109375" style="4" customWidth="1"/>
    <col min="12035" max="12038" width="9.140625" style="4"/>
    <col min="12039" max="12039" width="12.85546875" style="4" customWidth="1"/>
    <col min="12040" max="12041" width="9.140625" style="4"/>
    <col min="12042" max="12042" width="13.28515625" style="4" customWidth="1"/>
    <col min="12043" max="12043" width="16.42578125" style="4" bestFit="1" customWidth="1"/>
    <col min="12044" max="12044" width="2.7109375" style="4" customWidth="1"/>
    <col min="12045" max="12045" width="15.7109375" style="4" customWidth="1"/>
    <col min="12046" max="12046" width="2.7109375" style="4" customWidth="1"/>
    <col min="12047" max="12289" width="9.140625" style="4"/>
    <col min="12290" max="12290" width="2.7109375" style="4" customWidth="1"/>
    <col min="12291" max="12294" width="9.140625" style="4"/>
    <col min="12295" max="12295" width="12.85546875" style="4" customWidth="1"/>
    <col min="12296" max="12297" width="9.140625" style="4"/>
    <col min="12298" max="12298" width="13.28515625" style="4" customWidth="1"/>
    <col min="12299" max="12299" width="16.42578125" style="4" bestFit="1" customWidth="1"/>
    <col min="12300" max="12300" width="2.7109375" style="4" customWidth="1"/>
    <col min="12301" max="12301" width="15.7109375" style="4" customWidth="1"/>
    <col min="12302" max="12302" width="2.7109375" style="4" customWidth="1"/>
    <col min="12303" max="12545" width="9.140625" style="4"/>
    <col min="12546" max="12546" width="2.7109375" style="4" customWidth="1"/>
    <col min="12547" max="12550" width="9.140625" style="4"/>
    <col min="12551" max="12551" width="12.85546875" style="4" customWidth="1"/>
    <col min="12552" max="12553" width="9.140625" style="4"/>
    <col min="12554" max="12554" width="13.28515625" style="4" customWidth="1"/>
    <col min="12555" max="12555" width="16.42578125" style="4" bestFit="1" customWidth="1"/>
    <col min="12556" max="12556" width="2.7109375" style="4" customWidth="1"/>
    <col min="12557" max="12557" width="15.7109375" style="4" customWidth="1"/>
    <col min="12558" max="12558" width="2.7109375" style="4" customWidth="1"/>
    <col min="12559" max="12801" width="9.140625" style="4"/>
    <col min="12802" max="12802" width="2.7109375" style="4" customWidth="1"/>
    <col min="12803" max="12806" width="9.140625" style="4"/>
    <col min="12807" max="12807" width="12.85546875" style="4" customWidth="1"/>
    <col min="12808" max="12809" width="9.140625" style="4"/>
    <col min="12810" max="12810" width="13.28515625" style="4" customWidth="1"/>
    <col min="12811" max="12811" width="16.42578125" style="4" bestFit="1" customWidth="1"/>
    <col min="12812" max="12812" width="2.7109375" style="4" customWidth="1"/>
    <col min="12813" max="12813" width="15.7109375" style="4" customWidth="1"/>
    <col min="12814" max="12814" width="2.7109375" style="4" customWidth="1"/>
    <col min="12815" max="13057" width="9.140625" style="4"/>
    <col min="13058" max="13058" width="2.7109375" style="4" customWidth="1"/>
    <col min="13059" max="13062" width="9.140625" style="4"/>
    <col min="13063" max="13063" width="12.85546875" style="4" customWidth="1"/>
    <col min="13064" max="13065" width="9.140625" style="4"/>
    <col min="13066" max="13066" width="13.28515625" style="4" customWidth="1"/>
    <col min="13067" max="13067" width="16.42578125" style="4" bestFit="1" customWidth="1"/>
    <col min="13068" max="13068" width="2.7109375" style="4" customWidth="1"/>
    <col min="13069" max="13069" width="15.7109375" style="4" customWidth="1"/>
    <col min="13070" max="13070" width="2.7109375" style="4" customWidth="1"/>
    <col min="13071" max="13313" width="9.140625" style="4"/>
    <col min="13314" max="13314" width="2.7109375" style="4" customWidth="1"/>
    <col min="13315" max="13318" width="9.140625" style="4"/>
    <col min="13319" max="13319" width="12.85546875" style="4" customWidth="1"/>
    <col min="13320" max="13321" width="9.140625" style="4"/>
    <col min="13322" max="13322" width="13.28515625" style="4" customWidth="1"/>
    <col min="13323" max="13323" width="16.42578125" style="4" bestFit="1" customWidth="1"/>
    <col min="13324" max="13324" width="2.7109375" style="4" customWidth="1"/>
    <col min="13325" max="13325" width="15.7109375" style="4" customWidth="1"/>
    <col min="13326" max="13326" width="2.7109375" style="4" customWidth="1"/>
    <col min="13327" max="13569" width="9.140625" style="4"/>
    <col min="13570" max="13570" width="2.7109375" style="4" customWidth="1"/>
    <col min="13571" max="13574" width="9.140625" style="4"/>
    <col min="13575" max="13575" width="12.85546875" style="4" customWidth="1"/>
    <col min="13576" max="13577" width="9.140625" style="4"/>
    <col min="13578" max="13578" width="13.28515625" style="4" customWidth="1"/>
    <col min="13579" max="13579" width="16.42578125" style="4" bestFit="1" customWidth="1"/>
    <col min="13580" max="13580" width="2.7109375" style="4" customWidth="1"/>
    <col min="13581" max="13581" width="15.7109375" style="4" customWidth="1"/>
    <col min="13582" max="13582" width="2.7109375" style="4" customWidth="1"/>
    <col min="13583" max="13825" width="9.140625" style="4"/>
    <col min="13826" max="13826" width="2.7109375" style="4" customWidth="1"/>
    <col min="13827" max="13830" width="9.140625" style="4"/>
    <col min="13831" max="13831" width="12.85546875" style="4" customWidth="1"/>
    <col min="13832" max="13833" width="9.140625" style="4"/>
    <col min="13834" max="13834" width="13.28515625" style="4" customWidth="1"/>
    <col min="13835" max="13835" width="16.42578125" style="4" bestFit="1" customWidth="1"/>
    <col min="13836" max="13836" width="2.7109375" style="4" customWidth="1"/>
    <col min="13837" max="13837" width="15.7109375" style="4" customWidth="1"/>
    <col min="13838" max="13838" width="2.7109375" style="4" customWidth="1"/>
    <col min="13839" max="14081" width="9.140625" style="4"/>
    <col min="14082" max="14082" width="2.7109375" style="4" customWidth="1"/>
    <col min="14083" max="14086" width="9.140625" style="4"/>
    <col min="14087" max="14087" width="12.85546875" style="4" customWidth="1"/>
    <col min="14088" max="14089" width="9.140625" style="4"/>
    <col min="14090" max="14090" width="13.28515625" style="4" customWidth="1"/>
    <col min="14091" max="14091" width="16.42578125" style="4" bestFit="1" customWidth="1"/>
    <col min="14092" max="14092" width="2.7109375" style="4" customWidth="1"/>
    <col min="14093" max="14093" width="15.7109375" style="4" customWidth="1"/>
    <col min="14094" max="14094" width="2.7109375" style="4" customWidth="1"/>
    <col min="14095" max="14337" width="9.140625" style="4"/>
    <col min="14338" max="14338" width="2.7109375" style="4" customWidth="1"/>
    <col min="14339" max="14342" width="9.140625" style="4"/>
    <col min="14343" max="14343" width="12.85546875" style="4" customWidth="1"/>
    <col min="14344" max="14345" width="9.140625" style="4"/>
    <col min="14346" max="14346" width="13.28515625" style="4" customWidth="1"/>
    <col min="14347" max="14347" width="16.42578125" style="4" bestFit="1" customWidth="1"/>
    <col min="14348" max="14348" width="2.7109375" style="4" customWidth="1"/>
    <col min="14349" max="14349" width="15.7109375" style="4" customWidth="1"/>
    <col min="14350" max="14350" width="2.7109375" style="4" customWidth="1"/>
    <col min="14351" max="14593" width="9.140625" style="4"/>
    <col min="14594" max="14594" width="2.7109375" style="4" customWidth="1"/>
    <col min="14595" max="14598" width="9.140625" style="4"/>
    <col min="14599" max="14599" width="12.85546875" style="4" customWidth="1"/>
    <col min="14600" max="14601" width="9.140625" style="4"/>
    <col min="14602" max="14602" width="13.28515625" style="4" customWidth="1"/>
    <col min="14603" max="14603" width="16.42578125" style="4" bestFit="1" customWidth="1"/>
    <col min="14604" max="14604" width="2.7109375" style="4" customWidth="1"/>
    <col min="14605" max="14605" width="15.7109375" style="4" customWidth="1"/>
    <col min="14606" max="14606" width="2.7109375" style="4" customWidth="1"/>
    <col min="14607" max="14849" width="9.140625" style="4"/>
    <col min="14850" max="14850" width="2.7109375" style="4" customWidth="1"/>
    <col min="14851" max="14854" width="9.140625" style="4"/>
    <col min="14855" max="14855" width="12.85546875" style="4" customWidth="1"/>
    <col min="14856" max="14857" width="9.140625" style="4"/>
    <col min="14858" max="14858" width="13.28515625" style="4" customWidth="1"/>
    <col min="14859" max="14859" width="16.42578125" style="4" bestFit="1" customWidth="1"/>
    <col min="14860" max="14860" width="2.7109375" style="4" customWidth="1"/>
    <col min="14861" max="14861" width="15.7109375" style="4" customWidth="1"/>
    <col min="14862" max="14862" width="2.7109375" style="4" customWidth="1"/>
    <col min="14863" max="15105" width="9.140625" style="4"/>
    <col min="15106" max="15106" width="2.7109375" style="4" customWidth="1"/>
    <col min="15107" max="15110" width="9.140625" style="4"/>
    <col min="15111" max="15111" width="12.85546875" style="4" customWidth="1"/>
    <col min="15112" max="15113" width="9.140625" style="4"/>
    <col min="15114" max="15114" width="13.28515625" style="4" customWidth="1"/>
    <col min="15115" max="15115" width="16.42578125" style="4" bestFit="1" customWidth="1"/>
    <col min="15116" max="15116" width="2.7109375" style="4" customWidth="1"/>
    <col min="15117" max="15117" width="15.7109375" style="4" customWidth="1"/>
    <col min="15118" max="15118" width="2.7109375" style="4" customWidth="1"/>
    <col min="15119" max="15361" width="9.140625" style="4"/>
    <col min="15362" max="15362" width="2.7109375" style="4" customWidth="1"/>
    <col min="15363" max="15366" width="9.140625" style="4"/>
    <col min="15367" max="15367" width="12.85546875" style="4" customWidth="1"/>
    <col min="15368" max="15369" width="9.140625" style="4"/>
    <col min="15370" max="15370" width="13.28515625" style="4" customWidth="1"/>
    <col min="15371" max="15371" width="16.42578125" style="4" bestFit="1" customWidth="1"/>
    <col min="15372" max="15372" width="2.7109375" style="4" customWidth="1"/>
    <col min="15373" max="15373" width="15.7109375" style="4" customWidth="1"/>
    <col min="15374" max="15374" width="2.7109375" style="4" customWidth="1"/>
    <col min="15375" max="15617" width="9.140625" style="4"/>
    <col min="15618" max="15618" width="2.7109375" style="4" customWidth="1"/>
    <col min="15619" max="15622" width="9.140625" style="4"/>
    <col min="15623" max="15623" width="12.85546875" style="4" customWidth="1"/>
    <col min="15624" max="15625" width="9.140625" style="4"/>
    <col min="15626" max="15626" width="13.28515625" style="4" customWidth="1"/>
    <col min="15627" max="15627" width="16.42578125" style="4" bestFit="1" customWidth="1"/>
    <col min="15628" max="15628" width="2.7109375" style="4" customWidth="1"/>
    <col min="15629" max="15629" width="15.7109375" style="4" customWidth="1"/>
    <col min="15630" max="15630" width="2.7109375" style="4" customWidth="1"/>
    <col min="15631" max="15873" width="9.140625" style="4"/>
    <col min="15874" max="15874" width="2.7109375" style="4" customWidth="1"/>
    <col min="15875" max="15878" width="9.140625" style="4"/>
    <col min="15879" max="15879" width="12.85546875" style="4" customWidth="1"/>
    <col min="15880" max="15881" width="9.140625" style="4"/>
    <col min="15882" max="15882" width="13.28515625" style="4" customWidth="1"/>
    <col min="15883" max="15883" width="16.42578125" style="4" bestFit="1" customWidth="1"/>
    <col min="15884" max="15884" width="2.7109375" style="4" customWidth="1"/>
    <col min="15885" max="15885" width="15.7109375" style="4" customWidth="1"/>
    <col min="15886" max="15886" width="2.7109375" style="4" customWidth="1"/>
    <col min="15887" max="16129" width="9.140625" style="4"/>
    <col min="16130" max="16130" width="2.7109375" style="4" customWidth="1"/>
    <col min="16131" max="16134" width="9.140625" style="4"/>
    <col min="16135" max="16135" width="12.85546875" style="4" customWidth="1"/>
    <col min="16136" max="16137" width="9.140625" style="4"/>
    <col min="16138" max="16138" width="13.28515625" style="4" customWidth="1"/>
    <col min="16139" max="16139" width="16.42578125" style="4" bestFit="1" customWidth="1"/>
    <col min="16140" max="16140" width="2.7109375" style="4" customWidth="1"/>
    <col min="16141" max="16141" width="15.7109375" style="4" customWidth="1"/>
    <col min="16142" max="16142" width="2.7109375" style="4" customWidth="1"/>
    <col min="16143" max="16384" width="9.140625" style="4"/>
  </cols>
  <sheetData>
    <row r="1" spans="1:20" ht="6" customHeight="1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20" ht="13.5" thickBot="1" x14ac:dyDescent="0.25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8"/>
      <c r="M2" s="9"/>
    </row>
    <row r="3" spans="1:20" ht="15" customHeight="1" x14ac:dyDescent="0.2">
      <c r="A3" s="5"/>
      <c r="B3" s="10"/>
      <c r="C3" s="231"/>
      <c r="D3" s="232"/>
      <c r="E3" s="232"/>
      <c r="F3" s="232"/>
      <c r="G3" s="232"/>
      <c r="H3" s="232"/>
      <c r="I3" s="232"/>
      <c r="J3" s="232"/>
      <c r="K3" s="233"/>
      <c r="L3" s="13"/>
      <c r="M3" s="9"/>
    </row>
    <row r="4" spans="1:20" ht="15" customHeight="1" x14ac:dyDescent="0.2">
      <c r="A4" s="5"/>
      <c r="B4" s="10"/>
      <c r="C4" s="234"/>
      <c r="D4" s="235"/>
      <c r="E4" s="235"/>
      <c r="F4" s="235"/>
      <c r="G4" s="235"/>
      <c r="H4" s="235"/>
      <c r="I4" s="235"/>
      <c r="J4" s="235"/>
      <c r="K4" s="236"/>
      <c r="L4" s="13"/>
      <c r="M4" s="9"/>
    </row>
    <row r="5" spans="1:20" ht="15" customHeight="1" x14ac:dyDescent="0.2">
      <c r="A5" s="5"/>
      <c r="B5" s="10"/>
      <c r="C5" s="234"/>
      <c r="D5" s="235"/>
      <c r="E5" s="235"/>
      <c r="F5" s="235"/>
      <c r="G5" s="235"/>
      <c r="H5" s="235"/>
      <c r="I5" s="235"/>
      <c r="J5" s="235"/>
      <c r="K5" s="236"/>
      <c r="L5" s="13"/>
      <c r="M5" s="9"/>
    </row>
    <row r="6" spans="1:20" ht="15" customHeight="1" thickBot="1" x14ac:dyDescent="0.25">
      <c r="A6" s="5"/>
      <c r="B6" s="10"/>
      <c r="C6" s="237"/>
      <c r="D6" s="238"/>
      <c r="E6" s="238"/>
      <c r="F6" s="238"/>
      <c r="G6" s="238"/>
      <c r="H6" s="238"/>
      <c r="I6" s="238"/>
      <c r="J6" s="238"/>
      <c r="K6" s="239"/>
      <c r="L6" s="13"/>
      <c r="M6" s="9"/>
    </row>
    <row r="7" spans="1:20" ht="18.75" thickBot="1" x14ac:dyDescent="0.25">
      <c r="A7" s="5"/>
      <c r="B7" s="10"/>
      <c r="C7" s="11"/>
      <c r="E7" s="11"/>
      <c r="F7" s="11"/>
      <c r="G7" s="11"/>
      <c r="H7" s="11"/>
      <c r="I7" s="11"/>
      <c r="J7" s="18"/>
      <c r="K7" s="18"/>
      <c r="L7" s="13"/>
      <c r="M7" s="9"/>
    </row>
    <row r="8" spans="1:20" x14ac:dyDescent="0.2">
      <c r="A8" s="5"/>
      <c r="B8" s="10"/>
      <c r="C8" s="6" t="s">
        <v>1</v>
      </c>
      <c r="D8" s="7" t="str">
        <f>'Equipe Técnica Exec.'!D8</f>
        <v>CONSÓRCIO RODOVIA PR 317 IGUARAÇU MARINGÁ</v>
      </c>
      <c r="E8" s="7"/>
      <c r="F8" s="7"/>
      <c r="G8" s="7"/>
      <c r="H8" s="7"/>
      <c r="I8" s="7"/>
      <c r="J8" s="19" t="s">
        <v>3</v>
      </c>
      <c r="K8" s="20" t="str">
        <f>'Equipe Técnica Exec.'!K8</f>
        <v>141 / 2025</v>
      </c>
      <c r="L8" s="13"/>
      <c r="M8" s="9"/>
    </row>
    <row r="9" spans="1:20" x14ac:dyDescent="0.2">
      <c r="A9" s="5"/>
      <c r="B9" s="10"/>
      <c r="C9" s="10" t="s">
        <v>5</v>
      </c>
      <c r="D9" s="4" t="str">
        <f>'Equipe Técnica Exec.'!D9</f>
        <v>PR-317</v>
      </c>
      <c r="I9" s="21"/>
      <c r="J9" s="22" t="s">
        <v>7</v>
      </c>
      <c r="K9" s="23">
        <f>'Equipe Técnica Exec.'!K9</f>
        <v>13</v>
      </c>
      <c r="L9" s="13"/>
      <c r="M9" s="9"/>
    </row>
    <row r="10" spans="1:20" ht="33" customHeight="1" thickBot="1" x14ac:dyDescent="0.25">
      <c r="A10" s="5"/>
      <c r="B10" s="10"/>
      <c r="C10" s="24" t="s">
        <v>8</v>
      </c>
      <c r="D10" s="249" t="str">
        <f>'Equipe Técnica Exec.'!D10</f>
        <v>DUPLICAÇÃO E RESTAURAÇÃO DA PISTA EXISTENTE DA RODOVIA PR-317, TRECHO IGUARAÇU–MARINGÁ</v>
      </c>
      <c r="E10" s="249"/>
      <c r="F10" s="249"/>
      <c r="G10" s="249"/>
      <c r="H10" s="116"/>
      <c r="I10" s="116"/>
      <c r="J10" s="26" t="s">
        <v>10</v>
      </c>
      <c r="K10" s="27">
        <f>'Equipe Técnica Exec.'!K10</f>
        <v>46235</v>
      </c>
      <c r="L10" s="13"/>
      <c r="M10" s="9"/>
    </row>
    <row r="11" spans="1:20" ht="9.9499999999999993" customHeight="1" thickBot="1" x14ac:dyDescent="0.25">
      <c r="A11" s="5"/>
      <c r="B11" s="10"/>
      <c r="C11" s="7"/>
      <c r="K11" s="7"/>
      <c r="L11" s="13"/>
      <c r="M11" s="9"/>
    </row>
    <row r="12" spans="1:20" ht="19.5" customHeight="1" x14ac:dyDescent="0.2">
      <c r="A12" s="5"/>
      <c r="B12" s="10"/>
      <c r="C12" s="250" t="s">
        <v>262</v>
      </c>
      <c r="D12" s="309" t="s">
        <v>263</v>
      </c>
      <c r="E12" s="310"/>
      <c r="F12" s="310"/>
      <c r="G12" s="311"/>
      <c r="H12" s="309" t="s">
        <v>264</v>
      </c>
      <c r="I12" s="310"/>
      <c r="J12" s="310"/>
      <c r="K12" s="311"/>
      <c r="L12" s="13"/>
      <c r="M12" s="9"/>
    </row>
    <row r="13" spans="1:20" ht="19.5" customHeight="1" thickBot="1" x14ac:dyDescent="0.25">
      <c r="A13" s="5"/>
      <c r="B13" s="10"/>
      <c r="C13" s="308"/>
      <c r="D13" s="312" t="s">
        <v>265</v>
      </c>
      <c r="E13" s="313"/>
      <c r="F13" s="313" t="s">
        <v>266</v>
      </c>
      <c r="G13" s="314"/>
      <c r="H13" s="312" t="s">
        <v>267</v>
      </c>
      <c r="I13" s="313"/>
      <c r="J13" s="313" t="s">
        <v>268</v>
      </c>
      <c r="K13" s="314"/>
      <c r="L13" s="13"/>
      <c r="M13" s="9"/>
    </row>
    <row r="14" spans="1:20" ht="15" customHeight="1" x14ac:dyDescent="0.2">
      <c r="A14" s="5"/>
      <c r="B14" s="10"/>
      <c r="C14" s="117"/>
      <c r="D14" s="275"/>
      <c r="E14" s="277"/>
      <c r="F14" s="302"/>
      <c r="G14" s="303"/>
      <c r="H14" s="304"/>
      <c r="I14" s="305"/>
      <c r="J14" s="305"/>
      <c r="K14" s="306"/>
      <c r="L14" s="13"/>
      <c r="M14" s="9"/>
      <c r="R14" s="34"/>
      <c r="S14" s="35"/>
      <c r="T14" s="35"/>
    </row>
    <row r="15" spans="1:20" ht="14.25" x14ac:dyDescent="0.2">
      <c r="A15" s="5"/>
      <c r="B15" s="10"/>
      <c r="C15" s="118"/>
      <c r="D15" s="280"/>
      <c r="E15" s="282"/>
      <c r="F15" s="290"/>
      <c r="G15" s="291"/>
      <c r="H15" s="292"/>
      <c r="I15" s="293"/>
      <c r="J15" s="293"/>
      <c r="K15" s="307"/>
      <c r="L15" s="13"/>
      <c r="M15" s="9"/>
      <c r="R15" s="34"/>
      <c r="S15" s="35"/>
      <c r="T15" s="35"/>
    </row>
    <row r="16" spans="1:20" x14ac:dyDescent="0.2">
      <c r="A16" s="5"/>
      <c r="B16" s="10"/>
      <c r="C16" s="118"/>
      <c r="D16" s="280"/>
      <c r="E16" s="282"/>
      <c r="F16" s="290"/>
      <c r="G16" s="291"/>
      <c r="H16" s="292"/>
      <c r="I16" s="293"/>
      <c r="J16" s="294"/>
      <c r="K16" s="295"/>
      <c r="L16" s="13"/>
      <c r="M16" s="9"/>
      <c r="R16" s="34"/>
      <c r="S16" s="34"/>
      <c r="T16" s="34"/>
    </row>
    <row r="17" spans="1:20" x14ac:dyDescent="0.2">
      <c r="A17" s="5"/>
      <c r="B17" s="10"/>
      <c r="C17" s="118"/>
      <c r="D17" s="280"/>
      <c r="E17" s="282"/>
      <c r="F17" s="290"/>
      <c r="G17" s="291"/>
      <c r="H17" s="292"/>
      <c r="I17" s="293"/>
      <c r="J17" s="294"/>
      <c r="K17" s="295"/>
      <c r="L17" s="13"/>
      <c r="M17" s="9"/>
      <c r="R17" s="34"/>
      <c r="S17" s="34"/>
      <c r="T17" s="34"/>
    </row>
    <row r="18" spans="1:20" x14ac:dyDescent="0.2">
      <c r="A18" s="5"/>
      <c r="B18" s="10"/>
      <c r="C18" s="118"/>
      <c r="D18" s="280"/>
      <c r="E18" s="282"/>
      <c r="F18" s="290"/>
      <c r="G18" s="291"/>
      <c r="H18" s="292"/>
      <c r="I18" s="293"/>
      <c r="J18" s="294"/>
      <c r="K18" s="295"/>
      <c r="L18" s="13"/>
      <c r="M18" s="9"/>
      <c r="R18" s="34"/>
      <c r="S18" s="34"/>
      <c r="T18" s="34"/>
    </row>
    <row r="19" spans="1:20" x14ac:dyDescent="0.2">
      <c r="A19" s="5"/>
      <c r="B19" s="10"/>
      <c r="C19" s="118"/>
      <c r="D19" s="280"/>
      <c r="E19" s="282"/>
      <c r="F19" s="290"/>
      <c r="G19" s="291"/>
      <c r="H19" s="292"/>
      <c r="I19" s="293"/>
      <c r="J19" s="294"/>
      <c r="K19" s="295"/>
      <c r="L19" s="13"/>
      <c r="M19" s="9"/>
    </row>
    <row r="20" spans="1:20" x14ac:dyDescent="0.2">
      <c r="A20" s="5"/>
      <c r="B20" s="10"/>
      <c r="C20" s="118"/>
      <c r="D20" s="280"/>
      <c r="E20" s="282"/>
      <c r="F20" s="290"/>
      <c r="G20" s="291"/>
      <c r="H20" s="292"/>
      <c r="I20" s="293"/>
      <c r="J20" s="294"/>
      <c r="K20" s="295"/>
      <c r="L20" s="13"/>
      <c r="M20" s="9"/>
    </row>
    <row r="21" spans="1:20" x14ac:dyDescent="0.2">
      <c r="A21" s="5"/>
      <c r="B21" s="10"/>
      <c r="C21" s="118"/>
      <c r="D21" s="280"/>
      <c r="E21" s="282"/>
      <c r="F21" s="290"/>
      <c r="G21" s="291"/>
      <c r="H21" s="292"/>
      <c r="I21" s="293"/>
      <c r="J21" s="294"/>
      <c r="K21" s="295"/>
      <c r="L21" s="13"/>
      <c r="M21" s="9"/>
    </row>
    <row r="22" spans="1:20" x14ac:dyDescent="0.2">
      <c r="A22" s="5"/>
      <c r="B22" s="10"/>
      <c r="C22" s="118"/>
      <c r="D22" s="280"/>
      <c r="E22" s="282"/>
      <c r="F22" s="290"/>
      <c r="G22" s="291"/>
      <c r="H22" s="292"/>
      <c r="I22" s="293"/>
      <c r="J22" s="294"/>
      <c r="K22" s="295"/>
      <c r="L22" s="13"/>
      <c r="M22" s="9"/>
    </row>
    <row r="23" spans="1:20" ht="13.5" thickBot="1" x14ac:dyDescent="0.25">
      <c r="A23" s="5"/>
      <c r="B23" s="10"/>
      <c r="C23" s="119"/>
      <c r="D23" s="285"/>
      <c r="E23" s="287"/>
      <c r="F23" s="296"/>
      <c r="G23" s="297"/>
      <c r="H23" s="298"/>
      <c r="I23" s="299"/>
      <c r="J23" s="300"/>
      <c r="K23" s="301"/>
      <c r="L23" s="13"/>
      <c r="M23" s="9"/>
    </row>
    <row r="24" spans="1:20" s="34" customFormat="1" ht="21" customHeight="1" x14ac:dyDescent="0.25">
      <c r="A24" s="120"/>
      <c r="B24" s="121"/>
      <c r="C24" s="275" t="s">
        <v>269</v>
      </c>
      <c r="D24" s="276"/>
      <c r="E24" s="276"/>
      <c r="F24" s="276"/>
      <c r="G24" s="277"/>
      <c r="H24" s="278"/>
      <c r="I24" s="278"/>
      <c r="J24" s="278"/>
      <c r="K24" s="279"/>
      <c r="L24" s="122"/>
      <c r="M24" s="123"/>
    </row>
    <row r="25" spans="1:20" s="34" customFormat="1" ht="21" customHeight="1" x14ac:dyDescent="0.25">
      <c r="A25" s="120"/>
      <c r="B25" s="121"/>
      <c r="C25" s="280" t="s">
        <v>270</v>
      </c>
      <c r="D25" s="281"/>
      <c r="E25" s="281"/>
      <c r="F25" s="281"/>
      <c r="G25" s="282"/>
      <c r="H25" s="283"/>
      <c r="I25" s="283"/>
      <c r="J25" s="283"/>
      <c r="K25" s="284"/>
      <c r="L25" s="122"/>
      <c r="M25" s="123"/>
    </row>
    <row r="26" spans="1:20" s="34" customFormat="1" ht="21" customHeight="1" thickBot="1" x14ac:dyDescent="0.3">
      <c r="A26" s="120"/>
      <c r="B26" s="121"/>
      <c r="C26" s="285" t="s">
        <v>271</v>
      </c>
      <c r="D26" s="286"/>
      <c r="E26" s="286"/>
      <c r="F26" s="286"/>
      <c r="G26" s="287"/>
      <c r="H26" s="288"/>
      <c r="I26" s="288"/>
      <c r="J26" s="288"/>
      <c r="K26" s="289"/>
      <c r="L26" s="122"/>
      <c r="M26" s="123"/>
    </row>
    <row r="27" spans="1:20" ht="4.1500000000000004" customHeight="1" thickBot="1" x14ac:dyDescent="0.25">
      <c r="A27" s="5"/>
      <c r="B27" s="124"/>
      <c r="C27" s="125"/>
      <c r="D27" s="125"/>
      <c r="E27" s="125"/>
      <c r="F27" s="125"/>
      <c r="G27" s="125"/>
      <c r="H27" s="125"/>
      <c r="I27" s="125"/>
      <c r="J27" s="125"/>
      <c r="K27" s="125"/>
      <c r="L27" s="122"/>
      <c r="M27" s="9"/>
    </row>
    <row r="28" spans="1:20" x14ac:dyDescent="0.2">
      <c r="A28" s="5"/>
      <c r="B28" s="124"/>
      <c r="C28" s="126" t="s">
        <v>272</v>
      </c>
      <c r="D28" s="7"/>
      <c r="E28" s="7"/>
      <c r="F28" s="7"/>
      <c r="G28" s="7"/>
      <c r="H28" s="7"/>
      <c r="I28" s="7"/>
      <c r="J28" s="7"/>
      <c r="K28" s="8"/>
      <c r="L28" s="122"/>
      <c r="M28" s="9"/>
    </row>
    <row r="29" spans="1:20" x14ac:dyDescent="0.2">
      <c r="A29" s="5"/>
      <c r="B29" s="124"/>
      <c r="C29" s="10"/>
      <c r="K29" s="13"/>
      <c r="L29" s="13"/>
      <c r="M29" s="9"/>
    </row>
    <row r="30" spans="1:20" x14ac:dyDescent="0.2">
      <c r="A30" s="5"/>
      <c r="B30" s="124"/>
      <c r="C30" s="10"/>
      <c r="K30" s="13"/>
      <c r="L30" s="13"/>
      <c r="M30" s="9"/>
    </row>
    <row r="31" spans="1:20" ht="12" customHeight="1" thickBot="1" x14ac:dyDescent="0.25">
      <c r="A31" s="5"/>
      <c r="B31" s="127"/>
      <c r="C31" s="16"/>
      <c r="D31" s="25"/>
      <c r="E31" s="25"/>
      <c r="F31" s="25"/>
      <c r="G31" s="25"/>
      <c r="H31" s="25"/>
      <c r="I31" s="25"/>
      <c r="J31" s="25"/>
      <c r="K31" s="109"/>
      <c r="L31" s="13"/>
      <c r="M31" s="9"/>
    </row>
    <row r="32" spans="1:20" ht="12.6" customHeight="1" thickBot="1" x14ac:dyDescent="0.25">
      <c r="A32" s="5"/>
      <c r="B32" s="128"/>
      <c r="C32" s="25"/>
      <c r="D32" s="25"/>
      <c r="E32" s="25"/>
      <c r="F32" s="25"/>
      <c r="G32" s="25"/>
      <c r="H32" s="25"/>
      <c r="I32" s="25"/>
      <c r="J32" s="25"/>
      <c r="K32" s="25"/>
      <c r="L32" s="109"/>
      <c r="M32" s="9"/>
    </row>
    <row r="33" spans="1:13" ht="13.5" thickBot="1" x14ac:dyDescent="0.25">
      <c r="A33" s="51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110"/>
    </row>
    <row r="34" spans="1:13" ht="5.25" customHeight="1" x14ac:dyDescent="0.2"/>
  </sheetData>
  <mergeCells count="55">
    <mergeCell ref="C3:K6"/>
    <mergeCell ref="D10:G10"/>
    <mergeCell ref="C12:C13"/>
    <mergeCell ref="D12:G12"/>
    <mergeCell ref="H12:K12"/>
    <mergeCell ref="D13:E13"/>
    <mergeCell ref="F13:G13"/>
    <mergeCell ref="H13:I13"/>
    <mergeCell ref="J13:K13"/>
    <mergeCell ref="D14:E14"/>
    <mergeCell ref="F14:G14"/>
    <mergeCell ref="H14:I14"/>
    <mergeCell ref="J14:K14"/>
    <mergeCell ref="D15:E15"/>
    <mergeCell ref="F15:G15"/>
    <mergeCell ref="H15:I15"/>
    <mergeCell ref="J15:K15"/>
    <mergeCell ref="D16:E16"/>
    <mergeCell ref="F16:G16"/>
    <mergeCell ref="H16:I16"/>
    <mergeCell ref="J16:K16"/>
    <mergeCell ref="D17:E17"/>
    <mergeCell ref="F17:G17"/>
    <mergeCell ref="H17:I17"/>
    <mergeCell ref="J17:K17"/>
    <mergeCell ref="D18:E18"/>
    <mergeCell ref="F18:G18"/>
    <mergeCell ref="H18:I18"/>
    <mergeCell ref="J18:K18"/>
    <mergeCell ref="D19:E19"/>
    <mergeCell ref="F19:G19"/>
    <mergeCell ref="H19:I19"/>
    <mergeCell ref="J19:K19"/>
    <mergeCell ref="D20:E20"/>
    <mergeCell ref="F20:G20"/>
    <mergeCell ref="H20:I20"/>
    <mergeCell ref="J20:K20"/>
    <mergeCell ref="D21:E21"/>
    <mergeCell ref="F21:G21"/>
    <mergeCell ref="H21:I21"/>
    <mergeCell ref="J21:K21"/>
    <mergeCell ref="D22:E22"/>
    <mergeCell ref="F22:G22"/>
    <mergeCell ref="H22:I22"/>
    <mergeCell ref="J22:K22"/>
    <mergeCell ref="D23:E23"/>
    <mergeCell ref="F23:G23"/>
    <mergeCell ref="H23:I23"/>
    <mergeCell ref="J23:K23"/>
    <mergeCell ref="C24:G24"/>
    <mergeCell ref="H24:K24"/>
    <mergeCell ref="C25:G25"/>
    <mergeCell ref="H25:K25"/>
    <mergeCell ref="C26:G26"/>
    <mergeCell ref="H26:K26"/>
  </mergeCells>
  <printOptions horizontalCentered="1"/>
  <pageMargins left="0.25" right="0.25" top="0.75" bottom="0.75" header="0.3" footer="0.3"/>
  <pageSetup paperSize="9" scale="78" fitToWidth="0" fitToHeight="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805A-328D-4A1B-BB44-9005CD18354B}">
  <sheetPr>
    <pageSetUpPr fitToPage="1"/>
  </sheetPr>
  <dimension ref="A1:AD153"/>
  <sheetViews>
    <sheetView showGridLines="0" view="pageBreakPreview" zoomScaleNormal="70" zoomScaleSheetLayoutView="100" workbookViewId="0">
      <selection activeCell="R10" sqref="R10"/>
    </sheetView>
  </sheetViews>
  <sheetFormatPr defaultRowHeight="12.75" x14ac:dyDescent="0.2"/>
  <cols>
    <col min="1" max="1" width="9.140625" style="4"/>
    <col min="2" max="2" width="1" style="4" customWidth="1"/>
    <col min="3" max="3" width="3.42578125" style="4" bestFit="1" customWidth="1"/>
    <col min="4" max="4" width="9.140625" style="4"/>
    <col min="5" max="9" width="14" style="4" customWidth="1"/>
    <col min="10" max="10" width="8.28515625" style="4" customWidth="1"/>
    <col min="11" max="11" width="16.140625" style="4" customWidth="1"/>
    <col min="12" max="12" width="10" style="4" customWidth="1"/>
    <col min="13" max="13" width="12.42578125" style="4" customWidth="1"/>
    <col min="14" max="14" width="2.7109375" style="4" customWidth="1"/>
    <col min="15" max="15" width="1" style="4" customWidth="1"/>
    <col min="16" max="18" width="9.140625" style="4"/>
    <col min="19" max="24" width="11.42578125" style="4" customWidth="1"/>
    <col min="25" max="259" width="9.140625" style="4"/>
    <col min="260" max="260" width="2.7109375" style="4" customWidth="1"/>
    <col min="261" max="261" width="3.42578125" style="4" bestFit="1" customWidth="1"/>
    <col min="262" max="267" width="9.140625" style="4"/>
    <col min="268" max="268" width="10.140625" style="4" customWidth="1"/>
    <col min="269" max="269" width="9.140625" style="4"/>
    <col min="270" max="270" width="7.5703125" style="4" customWidth="1"/>
    <col min="271" max="272" width="2.7109375" style="4" customWidth="1"/>
    <col min="273" max="515" width="9.140625" style="4"/>
    <col min="516" max="516" width="2.7109375" style="4" customWidth="1"/>
    <col min="517" max="517" width="3.42578125" style="4" bestFit="1" customWidth="1"/>
    <col min="518" max="523" width="9.140625" style="4"/>
    <col min="524" max="524" width="10.140625" style="4" customWidth="1"/>
    <col min="525" max="525" width="9.140625" style="4"/>
    <col min="526" max="526" width="7.5703125" style="4" customWidth="1"/>
    <col min="527" max="528" width="2.7109375" style="4" customWidth="1"/>
    <col min="529" max="771" width="9.140625" style="4"/>
    <col min="772" max="772" width="2.7109375" style="4" customWidth="1"/>
    <col min="773" max="773" width="3.42578125" style="4" bestFit="1" customWidth="1"/>
    <col min="774" max="779" width="9.140625" style="4"/>
    <col min="780" max="780" width="10.140625" style="4" customWidth="1"/>
    <col min="781" max="781" width="9.140625" style="4"/>
    <col min="782" max="782" width="7.5703125" style="4" customWidth="1"/>
    <col min="783" max="784" width="2.7109375" style="4" customWidth="1"/>
    <col min="785" max="1027" width="9.140625" style="4"/>
    <col min="1028" max="1028" width="2.7109375" style="4" customWidth="1"/>
    <col min="1029" max="1029" width="3.42578125" style="4" bestFit="1" customWidth="1"/>
    <col min="1030" max="1035" width="9.140625" style="4"/>
    <col min="1036" max="1036" width="10.140625" style="4" customWidth="1"/>
    <col min="1037" max="1037" width="9.140625" style="4"/>
    <col min="1038" max="1038" width="7.5703125" style="4" customWidth="1"/>
    <col min="1039" max="1040" width="2.7109375" style="4" customWidth="1"/>
    <col min="1041" max="1283" width="9.140625" style="4"/>
    <col min="1284" max="1284" width="2.7109375" style="4" customWidth="1"/>
    <col min="1285" max="1285" width="3.42578125" style="4" bestFit="1" customWidth="1"/>
    <col min="1286" max="1291" width="9.140625" style="4"/>
    <col min="1292" max="1292" width="10.140625" style="4" customWidth="1"/>
    <col min="1293" max="1293" width="9.140625" style="4"/>
    <col min="1294" max="1294" width="7.5703125" style="4" customWidth="1"/>
    <col min="1295" max="1296" width="2.7109375" style="4" customWidth="1"/>
    <col min="1297" max="1539" width="9.140625" style="4"/>
    <col min="1540" max="1540" width="2.7109375" style="4" customWidth="1"/>
    <col min="1541" max="1541" width="3.42578125" style="4" bestFit="1" customWidth="1"/>
    <col min="1542" max="1547" width="9.140625" style="4"/>
    <col min="1548" max="1548" width="10.140625" style="4" customWidth="1"/>
    <col min="1549" max="1549" width="9.140625" style="4"/>
    <col min="1550" max="1550" width="7.5703125" style="4" customWidth="1"/>
    <col min="1551" max="1552" width="2.7109375" style="4" customWidth="1"/>
    <col min="1553" max="1795" width="9.140625" style="4"/>
    <col min="1796" max="1796" width="2.7109375" style="4" customWidth="1"/>
    <col min="1797" max="1797" width="3.42578125" style="4" bestFit="1" customWidth="1"/>
    <col min="1798" max="1803" width="9.140625" style="4"/>
    <col min="1804" max="1804" width="10.140625" style="4" customWidth="1"/>
    <col min="1805" max="1805" width="9.140625" style="4"/>
    <col min="1806" max="1806" width="7.5703125" style="4" customWidth="1"/>
    <col min="1807" max="1808" width="2.7109375" style="4" customWidth="1"/>
    <col min="1809" max="2051" width="9.140625" style="4"/>
    <col min="2052" max="2052" width="2.7109375" style="4" customWidth="1"/>
    <col min="2053" max="2053" width="3.42578125" style="4" bestFit="1" customWidth="1"/>
    <col min="2054" max="2059" width="9.140625" style="4"/>
    <col min="2060" max="2060" width="10.140625" style="4" customWidth="1"/>
    <col min="2061" max="2061" width="9.140625" style="4"/>
    <col min="2062" max="2062" width="7.5703125" style="4" customWidth="1"/>
    <col min="2063" max="2064" width="2.7109375" style="4" customWidth="1"/>
    <col min="2065" max="2307" width="9.140625" style="4"/>
    <col min="2308" max="2308" width="2.7109375" style="4" customWidth="1"/>
    <col min="2309" max="2309" width="3.42578125" style="4" bestFit="1" customWidth="1"/>
    <col min="2310" max="2315" width="9.140625" style="4"/>
    <col min="2316" max="2316" width="10.140625" style="4" customWidth="1"/>
    <col min="2317" max="2317" width="9.140625" style="4"/>
    <col min="2318" max="2318" width="7.5703125" style="4" customWidth="1"/>
    <col min="2319" max="2320" width="2.7109375" style="4" customWidth="1"/>
    <col min="2321" max="2563" width="9.140625" style="4"/>
    <col min="2564" max="2564" width="2.7109375" style="4" customWidth="1"/>
    <col min="2565" max="2565" width="3.42578125" style="4" bestFit="1" customWidth="1"/>
    <col min="2566" max="2571" width="9.140625" style="4"/>
    <col min="2572" max="2572" width="10.140625" style="4" customWidth="1"/>
    <col min="2573" max="2573" width="9.140625" style="4"/>
    <col min="2574" max="2574" width="7.5703125" style="4" customWidth="1"/>
    <col min="2575" max="2576" width="2.7109375" style="4" customWidth="1"/>
    <col min="2577" max="2819" width="9.140625" style="4"/>
    <col min="2820" max="2820" width="2.7109375" style="4" customWidth="1"/>
    <col min="2821" max="2821" width="3.42578125" style="4" bestFit="1" customWidth="1"/>
    <col min="2822" max="2827" width="9.140625" style="4"/>
    <col min="2828" max="2828" width="10.140625" style="4" customWidth="1"/>
    <col min="2829" max="2829" width="9.140625" style="4"/>
    <col min="2830" max="2830" width="7.5703125" style="4" customWidth="1"/>
    <col min="2831" max="2832" width="2.7109375" style="4" customWidth="1"/>
    <col min="2833" max="3075" width="9.140625" style="4"/>
    <col min="3076" max="3076" width="2.7109375" style="4" customWidth="1"/>
    <col min="3077" max="3077" width="3.42578125" style="4" bestFit="1" customWidth="1"/>
    <col min="3078" max="3083" width="9.140625" style="4"/>
    <col min="3084" max="3084" width="10.140625" style="4" customWidth="1"/>
    <col min="3085" max="3085" width="9.140625" style="4"/>
    <col min="3086" max="3086" width="7.5703125" style="4" customWidth="1"/>
    <col min="3087" max="3088" width="2.7109375" style="4" customWidth="1"/>
    <col min="3089" max="3331" width="9.140625" style="4"/>
    <col min="3332" max="3332" width="2.7109375" style="4" customWidth="1"/>
    <col min="3333" max="3333" width="3.42578125" style="4" bestFit="1" customWidth="1"/>
    <col min="3334" max="3339" width="9.140625" style="4"/>
    <col min="3340" max="3340" width="10.140625" style="4" customWidth="1"/>
    <col min="3341" max="3341" width="9.140625" style="4"/>
    <col min="3342" max="3342" width="7.5703125" style="4" customWidth="1"/>
    <col min="3343" max="3344" width="2.7109375" style="4" customWidth="1"/>
    <col min="3345" max="3587" width="9.140625" style="4"/>
    <col min="3588" max="3588" width="2.7109375" style="4" customWidth="1"/>
    <col min="3589" max="3589" width="3.42578125" style="4" bestFit="1" customWidth="1"/>
    <col min="3590" max="3595" width="9.140625" style="4"/>
    <col min="3596" max="3596" width="10.140625" style="4" customWidth="1"/>
    <col min="3597" max="3597" width="9.140625" style="4"/>
    <col min="3598" max="3598" width="7.5703125" style="4" customWidth="1"/>
    <col min="3599" max="3600" width="2.7109375" style="4" customWidth="1"/>
    <col min="3601" max="3843" width="9.140625" style="4"/>
    <col min="3844" max="3844" width="2.7109375" style="4" customWidth="1"/>
    <col min="3845" max="3845" width="3.42578125" style="4" bestFit="1" customWidth="1"/>
    <col min="3846" max="3851" width="9.140625" style="4"/>
    <col min="3852" max="3852" width="10.140625" style="4" customWidth="1"/>
    <col min="3853" max="3853" width="9.140625" style="4"/>
    <col min="3854" max="3854" width="7.5703125" style="4" customWidth="1"/>
    <col min="3855" max="3856" width="2.7109375" style="4" customWidth="1"/>
    <col min="3857" max="4099" width="9.140625" style="4"/>
    <col min="4100" max="4100" width="2.7109375" style="4" customWidth="1"/>
    <col min="4101" max="4101" width="3.42578125" style="4" bestFit="1" customWidth="1"/>
    <col min="4102" max="4107" width="9.140625" style="4"/>
    <col min="4108" max="4108" width="10.140625" style="4" customWidth="1"/>
    <col min="4109" max="4109" width="9.140625" style="4"/>
    <col min="4110" max="4110" width="7.5703125" style="4" customWidth="1"/>
    <col min="4111" max="4112" width="2.7109375" style="4" customWidth="1"/>
    <col min="4113" max="4355" width="9.140625" style="4"/>
    <col min="4356" max="4356" width="2.7109375" style="4" customWidth="1"/>
    <col min="4357" max="4357" width="3.42578125" style="4" bestFit="1" customWidth="1"/>
    <col min="4358" max="4363" width="9.140625" style="4"/>
    <col min="4364" max="4364" width="10.140625" style="4" customWidth="1"/>
    <col min="4365" max="4365" width="9.140625" style="4"/>
    <col min="4366" max="4366" width="7.5703125" style="4" customWidth="1"/>
    <col min="4367" max="4368" width="2.7109375" style="4" customWidth="1"/>
    <col min="4369" max="4611" width="9.140625" style="4"/>
    <col min="4612" max="4612" width="2.7109375" style="4" customWidth="1"/>
    <col min="4613" max="4613" width="3.42578125" style="4" bestFit="1" customWidth="1"/>
    <col min="4614" max="4619" width="9.140625" style="4"/>
    <col min="4620" max="4620" width="10.140625" style="4" customWidth="1"/>
    <col min="4621" max="4621" width="9.140625" style="4"/>
    <col min="4622" max="4622" width="7.5703125" style="4" customWidth="1"/>
    <col min="4623" max="4624" width="2.7109375" style="4" customWidth="1"/>
    <col min="4625" max="4867" width="9.140625" style="4"/>
    <col min="4868" max="4868" width="2.7109375" style="4" customWidth="1"/>
    <col min="4869" max="4869" width="3.42578125" style="4" bestFit="1" customWidth="1"/>
    <col min="4870" max="4875" width="9.140625" style="4"/>
    <col min="4876" max="4876" width="10.140625" style="4" customWidth="1"/>
    <col min="4877" max="4877" width="9.140625" style="4"/>
    <col min="4878" max="4878" width="7.5703125" style="4" customWidth="1"/>
    <col min="4879" max="4880" width="2.7109375" style="4" customWidth="1"/>
    <col min="4881" max="5123" width="9.140625" style="4"/>
    <col min="5124" max="5124" width="2.7109375" style="4" customWidth="1"/>
    <col min="5125" max="5125" width="3.42578125" style="4" bestFit="1" customWidth="1"/>
    <col min="5126" max="5131" width="9.140625" style="4"/>
    <col min="5132" max="5132" width="10.140625" style="4" customWidth="1"/>
    <col min="5133" max="5133" width="9.140625" style="4"/>
    <col min="5134" max="5134" width="7.5703125" style="4" customWidth="1"/>
    <col min="5135" max="5136" width="2.7109375" style="4" customWidth="1"/>
    <col min="5137" max="5379" width="9.140625" style="4"/>
    <col min="5380" max="5380" width="2.7109375" style="4" customWidth="1"/>
    <col min="5381" max="5381" width="3.42578125" style="4" bestFit="1" customWidth="1"/>
    <col min="5382" max="5387" width="9.140625" style="4"/>
    <col min="5388" max="5388" width="10.140625" style="4" customWidth="1"/>
    <col min="5389" max="5389" width="9.140625" style="4"/>
    <col min="5390" max="5390" width="7.5703125" style="4" customWidth="1"/>
    <col min="5391" max="5392" width="2.7109375" style="4" customWidth="1"/>
    <col min="5393" max="5635" width="9.140625" style="4"/>
    <col min="5636" max="5636" width="2.7109375" style="4" customWidth="1"/>
    <col min="5637" max="5637" width="3.42578125" style="4" bestFit="1" customWidth="1"/>
    <col min="5638" max="5643" width="9.140625" style="4"/>
    <col min="5644" max="5644" width="10.140625" style="4" customWidth="1"/>
    <col min="5645" max="5645" width="9.140625" style="4"/>
    <col min="5646" max="5646" width="7.5703125" style="4" customWidth="1"/>
    <col min="5647" max="5648" width="2.7109375" style="4" customWidth="1"/>
    <col min="5649" max="5891" width="9.140625" style="4"/>
    <col min="5892" max="5892" width="2.7109375" style="4" customWidth="1"/>
    <col min="5893" max="5893" width="3.42578125" style="4" bestFit="1" customWidth="1"/>
    <col min="5894" max="5899" width="9.140625" style="4"/>
    <col min="5900" max="5900" width="10.140625" style="4" customWidth="1"/>
    <col min="5901" max="5901" width="9.140625" style="4"/>
    <col min="5902" max="5902" width="7.5703125" style="4" customWidth="1"/>
    <col min="5903" max="5904" width="2.7109375" style="4" customWidth="1"/>
    <col min="5905" max="6147" width="9.140625" style="4"/>
    <col min="6148" max="6148" width="2.7109375" style="4" customWidth="1"/>
    <col min="6149" max="6149" width="3.42578125" style="4" bestFit="1" customWidth="1"/>
    <col min="6150" max="6155" width="9.140625" style="4"/>
    <col min="6156" max="6156" width="10.140625" style="4" customWidth="1"/>
    <col min="6157" max="6157" width="9.140625" style="4"/>
    <col min="6158" max="6158" width="7.5703125" style="4" customWidth="1"/>
    <col min="6159" max="6160" width="2.7109375" style="4" customWidth="1"/>
    <col min="6161" max="6403" width="9.140625" style="4"/>
    <col min="6404" max="6404" width="2.7109375" style="4" customWidth="1"/>
    <col min="6405" max="6405" width="3.42578125" style="4" bestFit="1" customWidth="1"/>
    <col min="6406" max="6411" width="9.140625" style="4"/>
    <col min="6412" max="6412" width="10.140625" style="4" customWidth="1"/>
    <col min="6413" max="6413" width="9.140625" style="4"/>
    <col min="6414" max="6414" width="7.5703125" style="4" customWidth="1"/>
    <col min="6415" max="6416" width="2.7109375" style="4" customWidth="1"/>
    <col min="6417" max="6659" width="9.140625" style="4"/>
    <col min="6660" max="6660" width="2.7109375" style="4" customWidth="1"/>
    <col min="6661" max="6661" width="3.42578125" style="4" bestFit="1" customWidth="1"/>
    <col min="6662" max="6667" width="9.140625" style="4"/>
    <col min="6668" max="6668" width="10.140625" style="4" customWidth="1"/>
    <col min="6669" max="6669" width="9.140625" style="4"/>
    <col min="6670" max="6670" width="7.5703125" style="4" customWidth="1"/>
    <col min="6671" max="6672" width="2.7109375" style="4" customWidth="1"/>
    <col min="6673" max="6915" width="9.140625" style="4"/>
    <col min="6916" max="6916" width="2.7109375" style="4" customWidth="1"/>
    <col min="6917" max="6917" width="3.42578125" style="4" bestFit="1" customWidth="1"/>
    <col min="6918" max="6923" width="9.140625" style="4"/>
    <col min="6924" max="6924" width="10.140625" style="4" customWidth="1"/>
    <col min="6925" max="6925" width="9.140625" style="4"/>
    <col min="6926" max="6926" width="7.5703125" style="4" customWidth="1"/>
    <col min="6927" max="6928" width="2.7109375" style="4" customWidth="1"/>
    <col min="6929" max="7171" width="9.140625" style="4"/>
    <col min="7172" max="7172" width="2.7109375" style="4" customWidth="1"/>
    <col min="7173" max="7173" width="3.42578125" style="4" bestFit="1" customWidth="1"/>
    <col min="7174" max="7179" width="9.140625" style="4"/>
    <col min="7180" max="7180" width="10.140625" style="4" customWidth="1"/>
    <col min="7181" max="7181" width="9.140625" style="4"/>
    <col min="7182" max="7182" width="7.5703125" style="4" customWidth="1"/>
    <col min="7183" max="7184" width="2.7109375" style="4" customWidth="1"/>
    <col min="7185" max="7427" width="9.140625" style="4"/>
    <col min="7428" max="7428" width="2.7109375" style="4" customWidth="1"/>
    <col min="7429" max="7429" width="3.42578125" style="4" bestFit="1" customWidth="1"/>
    <col min="7430" max="7435" width="9.140625" style="4"/>
    <col min="7436" max="7436" width="10.140625" style="4" customWidth="1"/>
    <col min="7437" max="7437" width="9.140625" style="4"/>
    <col min="7438" max="7438" width="7.5703125" style="4" customWidth="1"/>
    <col min="7439" max="7440" width="2.7109375" style="4" customWidth="1"/>
    <col min="7441" max="7683" width="9.140625" style="4"/>
    <col min="7684" max="7684" width="2.7109375" style="4" customWidth="1"/>
    <col min="7685" max="7685" width="3.42578125" style="4" bestFit="1" customWidth="1"/>
    <col min="7686" max="7691" width="9.140625" style="4"/>
    <col min="7692" max="7692" width="10.140625" style="4" customWidth="1"/>
    <col min="7693" max="7693" width="9.140625" style="4"/>
    <col min="7694" max="7694" width="7.5703125" style="4" customWidth="1"/>
    <col min="7695" max="7696" width="2.7109375" style="4" customWidth="1"/>
    <col min="7697" max="7939" width="9.140625" style="4"/>
    <col min="7940" max="7940" width="2.7109375" style="4" customWidth="1"/>
    <col min="7941" max="7941" width="3.42578125" style="4" bestFit="1" customWidth="1"/>
    <col min="7942" max="7947" width="9.140625" style="4"/>
    <col min="7948" max="7948" width="10.140625" style="4" customWidth="1"/>
    <col min="7949" max="7949" width="9.140625" style="4"/>
    <col min="7950" max="7950" width="7.5703125" style="4" customWidth="1"/>
    <col min="7951" max="7952" width="2.7109375" style="4" customWidth="1"/>
    <col min="7953" max="8195" width="9.140625" style="4"/>
    <col min="8196" max="8196" width="2.7109375" style="4" customWidth="1"/>
    <col min="8197" max="8197" width="3.42578125" style="4" bestFit="1" customWidth="1"/>
    <col min="8198" max="8203" width="9.140625" style="4"/>
    <col min="8204" max="8204" width="10.140625" style="4" customWidth="1"/>
    <col min="8205" max="8205" width="9.140625" style="4"/>
    <col min="8206" max="8206" width="7.5703125" style="4" customWidth="1"/>
    <col min="8207" max="8208" width="2.7109375" style="4" customWidth="1"/>
    <col min="8209" max="8451" width="9.140625" style="4"/>
    <col min="8452" max="8452" width="2.7109375" style="4" customWidth="1"/>
    <col min="8453" max="8453" width="3.42578125" style="4" bestFit="1" customWidth="1"/>
    <col min="8454" max="8459" width="9.140625" style="4"/>
    <col min="8460" max="8460" width="10.140625" style="4" customWidth="1"/>
    <col min="8461" max="8461" width="9.140625" style="4"/>
    <col min="8462" max="8462" width="7.5703125" style="4" customWidth="1"/>
    <col min="8463" max="8464" width="2.7109375" style="4" customWidth="1"/>
    <col min="8465" max="8707" width="9.140625" style="4"/>
    <col min="8708" max="8708" width="2.7109375" style="4" customWidth="1"/>
    <col min="8709" max="8709" width="3.42578125" style="4" bestFit="1" customWidth="1"/>
    <col min="8710" max="8715" width="9.140625" style="4"/>
    <col min="8716" max="8716" width="10.140625" style="4" customWidth="1"/>
    <col min="8717" max="8717" width="9.140625" style="4"/>
    <col min="8718" max="8718" width="7.5703125" style="4" customWidth="1"/>
    <col min="8719" max="8720" width="2.7109375" style="4" customWidth="1"/>
    <col min="8721" max="8963" width="9.140625" style="4"/>
    <col min="8964" max="8964" width="2.7109375" style="4" customWidth="1"/>
    <col min="8965" max="8965" width="3.42578125" style="4" bestFit="1" customWidth="1"/>
    <col min="8966" max="8971" width="9.140625" style="4"/>
    <col min="8972" max="8972" width="10.140625" style="4" customWidth="1"/>
    <col min="8973" max="8973" width="9.140625" style="4"/>
    <col min="8974" max="8974" width="7.5703125" style="4" customWidth="1"/>
    <col min="8975" max="8976" width="2.7109375" style="4" customWidth="1"/>
    <col min="8977" max="9219" width="9.140625" style="4"/>
    <col min="9220" max="9220" width="2.7109375" style="4" customWidth="1"/>
    <col min="9221" max="9221" width="3.42578125" style="4" bestFit="1" customWidth="1"/>
    <col min="9222" max="9227" width="9.140625" style="4"/>
    <col min="9228" max="9228" width="10.140625" style="4" customWidth="1"/>
    <col min="9229" max="9229" width="9.140625" style="4"/>
    <col min="9230" max="9230" width="7.5703125" style="4" customWidth="1"/>
    <col min="9231" max="9232" width="2.7109375" style="4" customWidth="1"/>
    <col min="9233" max="9475" width="9.140625" style="4"/>
    <col min="9476" max="9476" width="2.7109375" style="4" customWidth="1"/>
    <col min="9477" max="9477" width="3.42578125" style="4" bestFit="1" customWidth="1"/>
    <col min="9478" max="9483" width="9.140625" style="4"/>
    <col min="9484" max="9484" width="10.140625" style="4" customWidth="1"/>
    <col min="9485" max="9485" width="9.140625" style="4"/>
    <col min="9486" max="9486" width="7.5703125" style="4" customWidth="1"/>
    <col min="9487" max="9488" width="2.7109375" style="4" customWidth="1"/>
    <col min="9489" max="9731" width="9.140625" style="4"/>
    <col min="9732" max="9732" width="2.7109375" style="4" customWidth="1"/>
    <col min="9733" max="9733" width="3.42578125" style="4" bestFit="1" customWidth="1"/>
    <col min="9734" max="9739" width="9.140625" style="4"/>
    <col min="9740" max="9740" width="10.140625" style="4" customWidth="1"/>
    <col min="9741" max="9741" width="9.140625" style="4"/>
    <col min="9742" max="9742" width="7.5703125" style="4" customWidth="1"/>
    <col min="9743" max="9744" width="2.7109375" style="4" customWidth="1"/>
    <col min="9745" max="9987" width="9.140625" style="4"/>
    <col min="9988" max="9988" width="2.7109375" style="4" customWidth="1"/>
    <col min="9989" max="9989" width="3.42578125" style="4" bestFit="1" customWidth="1"/>
    <col min="9990" max="9995" width="9.140625" style="4"/>
    <col min="9996" max="9996" width="10.140625" style="4" customWidth="1"/>
    <col min="9997" max="9997" width="9.140625" style="4"/>
    <col min="9998" max="9998" width="7.5703125" style="4" customWidth="1"/>
    <col min="9999" max="10000" width="2.7109375" style="4" customWidth="1"/>
    <col min="10001" max="10243" width="9.140625" style="4"/>
    <col min="10244" max="10244" width="2.7109375" style="4" customWidth="1"/>
    <col min="10245" max="10245" width="3.42578125" style="4" bestFit="1" customWidth="1"/>
    <col min="10246" max="10251" width="9.140625" style="4"/>
    <col min="10252" max="10252" width="10.140625" style="4" customWidth="1"/>
    <col min="10253" max="10253" width="9.140625" style="4"/>
    <col min="10254" max="10254" width="7.5703125" style="4" customWidth="1"/>
    <col min="10255" max="10256" width="2.7109375" style="4" customWidth="1"/>
    <col min="10257" max="10499" width="9.140625" style="4"/>
    <col min="10500" max="10500" width="2.7109375" style="4" customWidth="1"/>
    <col min="10501" max="10501" width="3.42578125" style="4" bestFit="1" customWidth="1"/>
    <col min="10502" max="10507" width="9.140625" style="4"/>
    <col min="10508" max="10508" width="10.140625" style="4" customWidth="1"/>
    <col min="10509" max="10509" width="9.140625" style="4"/>
    <col min="10510" max="10510" width="7.5703125" style="4" customWidth="1"/>
    <col min="10511" max="10512" width="2.7109375" style="4" customWidth="1"/>
    <col min="10513" max="10755" width="9.140625" style="4"/>
    <col min="10756" max="10756" width="2.7109375" style="4" customWidth="1"/>
    <col min="10757" max="10757" width="3.42578125" style="4" bestFit="1" customWidth="1"/>
    <col min="10758" max="10763" width="9.140625" style="4"/>
    <col min="10764" max="10764" width="10.140625" style="4" customWidth="1"/>
    <col min="10765" max="10765" width="9.140625" style="4"/>
    <col min="10766" max="10766" width="7.5703125" style="4" customWidth="1"/>
    <col min="10767" max="10768" width="2.7109375" style="4" customWidth="1"/>
    <col min="10769" max="11011" width="9.140625" style="4"/>
    <col min="11012" max="11012" width="2.7109375" style="4" customWidth="1"/>
    <col min="11013" max="11013" width="3.42578125" style="4" bestFit="1" customWidth="1"/>
    <col min="11014" max="11019" width="9.140625" style="4"/>
    <col min="11020" max="11020" width="10.140625" style="4" customWidth="1"/>
    <col min="11021" max="11021" width="9.140625" style="4"/>
    <col min="11022" max="11022" width="7.5703125" style="4" customWidth="1"/>
    <col min="11023" max="11024" width="2.7109375" style="4" customWidth="1"/>
    <col min="11025" max="11267" width="9.140625" style="4"/>
    <col min="11268" max="11268" width="2.7109375" style="4" customWidth="1"/>
    <col min="11269" max="11269" width="3.42578125" style="4" bestFit="1" customWidth="1"/>
    <col min="11270" max="11275" width="9.140625" style="4"/>
    <col min="11276" max="11276" width="10.140625" style="4" customWidth="1"/>
    <col min="11277" max="11277" width="9.140625" style="4"/>
    <col min="11278" max="11278" width="7.5703125" style="4" customWidth="1"/>
    <col min="11279" max="11280" width="2.7109375" style="4" customWidth="1"/>
    <col min="11281" max="11523" width="9.140625" style="4"/>
    <col min="11524" max="11524" width="2.7109375" style="4" customWidth="1"/>
    <col min="11525" max="11525" width="3.42578125" style="4" bestFit="1" customWidth="1"/>
    <col min="11526" max="11531" width="9.140625" style="4"/>
    <col min="11532" max="11532" width="10.140625" style="4" customWidth="1"/>
    <col min="11533" max="11533" width="9.140625" style="4"/>
    <col min="11534" max="11534" width="7.5703125" style="4" customWidth="1"/>
    <col min="11535" max="11536" width="2.7109375" style="4" customWidth="1"/>
    <col min="11537" max="11779" width="9.140625" style="4"/>
    <col min="11780" max="11780" width="2.7109375" style="4" customWidth="1"/>
    <col min="11781" max="11781" width="3.42578125" style="4" bestFit="1" customWidth="1"/>
    <col min="11782" max="11787" width="9.140625" style="4"/>
    <col min="11788" max="11788" width="10.140625" style="4" customWidth="1"/>
    <col min="11789" max="11789" width="9.140625" style="4"/>
    <col min="11790" max="11790" width="7.5703125" style="4" customWidth="1"/>
    <col min="11791" max="11792" width="2.7109375" style="4" customWidth="1"/>
    <col min="11793" max="12035" width="9.140625" style="4"/>
    <col min="12036" max="12036" width="2.7109375" style="4" customWidth="1"/>
    <col min="12037" max="12037" width="3.42578125" style="4" bestFit="1" customWidth="1"/>
    <col min="12038" max="12043" width="9.140625" style="4"/>
    <col min="12044" max="12044" width="10.140625" style="4" customWidth="1"/>
    <col min="12045" max="12045" width="9.140625" style="4"/>
    <col min="12046" max="12046" width="7.5703125" style="4" customWidth="1"/>
    <col min="12047" max="12048" width="2.7109375" style="4" customWidth="1"/>
    <col min="12049" max="12291" width="9.140625" style="4"/>
    <col min="12292" max="12292" width="2.7109375" style="4" customWidth="1"/>
    <col min="12293" max="12293" width="3.42578125" style="4" bestFit="1" customWidth="1"/>
    <col min="12294" max="12299" width="9.140625" style="4"/>
    <col min="12300" max="12300" width="10.140625" style="4" customWidth="1"/>
    <col min="12301" max="12301" width="9.140625" style="4"/>
    <col min="12302" max="12302" width="7.5703125" style="4" customWidth="1"/>
    <col min="12303" max="12304" width="2.7109375" style="4" customWidth="1"/>
    <col min="12305" max="12547" width="9.140625" style="4"/>
    <col min="12548" max="12548" width="2.7109375" style="4" customWidth="1"/>
    <col min="12549" max="12549" width="3.42578125" style="4" bestFit="1" customWidth="1"/>
    <col min="12550" max="12555" width="9.140625" style="4"/>
    <col min="12556" max="12556" width="10.140625" style="4" customWidth="1"/>
    <col min="12557" max="12557" width="9.140625" style="4"/>
    <col min="12558" max="12558" width="7.5703125" style="4" customWidth="1"/>
    <col min="12559" max="12560" width="2.7109375" style="4" customWidth="1"/>
    <col min="12561" max="12803" width="9.140625" style="4"/>
    <col min="12804" max="12804" width="2.7109375" style="4" customWidth="1"/>
    <col min="12805" max="12805" width="3.42578125" style="4" bestFit="1" customWidth="1"/>
    <col min="12806" max="12811" width="9.140625" style="4"/>
    <col min="12812" max="12812" width="10.140625" style="4" customWidth="1"/>
    <col min="12813" max="12813" width="9.140625" style="4"/>
    <col min="12814" max="12814" width="7.5703125" style="4" customWidth="1"/>
    <col min="12815" max="12816" width="2.7109375" style="4" customWidth="1"/>
    <col min="12817" max="13059" width="9.140625" style="4"/>
    <col min="13060" max="13060" width="2.7109375" style="4" customWidth="1"/>
    <col min="13061" max="13061" width="3.42578125" style="4" bestFit="1" customWidth="1"/>
    <col min="13062" max="13067" width="9.140625" style="4"/>
    <col min="13068" max="13068" width="10.140625" style="4" customWidth="1"/>
    <col min="13069" max="13069" width="9.140625" style="4"/>
    <col min="13070" max="13070" width="7.5703125" style="4" customWidth="1"/>
    <col min="13071" max="13072" width="2.7109375" style="4" customWidth="1"/>
    <col min="13073" max="13315" width="9.140625" style="4"/>
    <col min="13316" max="13316" width="2.7109375" style="4" customWidth="1"/>
    <col min="13317" max="13317" width="3.42578125" style="4" bestFit="1" customWidth="1"/>
    <col min="13318" max="13323" width="9.140625" style="4"/>
    <col min="13324" max="13324" width="10.140625" style="4" customWidth="1"/>
    <col min="13325" max="13325" width="9.140625" style="4"/>
    <col min="13326" max="13326" width="7.5703125" style="4" customWidth="1"/>
    <col min="13327" max="13328" width="2.7109375" style="4" customWidth="1"/>
    <col min="13329" max="13571" width="9.140625" style="4"/>
    <col min="13572" max="13572" width="2.7109375" style="4" customWidth="1"/>
    <col min="13573" max="13573" width="3.42578125" style="4" bestFit="1" customWidth="1"/>
    <col min="13574" max="13579" width="9.140625" style="4"/>
    <col min="13580" max="13580" width="10.140625" style="4" customWidth="1"/>
    <col min="13581" max="13581" width="9.140625" style="4"/>
    <col min="13582" max="13582" width="7.5703125" style="4" customWidth="1"/>
    <col min="13583" max="13584" width="2.7109375" style="4" customWidth="1"/>
    <col min="13585" max="13827" width="9.140625" style="4"/>
    <col min="13828" max="13828" width="2.7109375" style="4" customWidth="1"/>
    <col min="13829" max="13829" width="3.42578125" style="4" bestFit="1" customWidth="1"/>
    <col min="13830" max="13835" width="9.140625" style="4"/>
    <col min="13836" max="13836" width="10.140625" style="4" customWidth="1"/>
    <col min="13837" max="13837" width="9.140625" style="4"/>
    <col min="13838" max="13838" width="7.5703125" style="4" customWidth="1"/>
    <col min="13839" max="13840" width="2.7109375" style="4" customWidth="1"/>
    <col min="13841" max="14083" width="9.140625" style="4"/>
    <col min="14084" max="14084" width="2.7109375" style="4" customWidth="1"/>
    <col min="14085" max="14085" width="3.42578125" style="4" bestFit="1" customWidth="1"/>
    <col min="14086" max="14091" width="9.140625" style="4"/>
    <col min="14092" max="14092" width="10.140625" style="4" customWidth="1"/>
    <col min="14093" max="14093" width="9.140625" style="4"/>
    <col min="14094" max="14094" width="7.5703125" style="4" customWidth="1"/>
    <col min="14095" max="14096" width="2.7109375" style="4" customWidth="1"/>
    <col min="14097" max="14339" width="9.140625" style="4"/>
    <col min="14340" max="14340" width="2.7109375" style="4" customWidth="1"/>
    <col min="14341" max="14341" width="3.42578125" style="4" bestFit="1" customWidth="1"/>
    <col min="14342" max="14347" width="9.140625" style="4"/>
    <col min="14348" max="14348" width="10.140625" style="4" customWidth="1"/>
    <col min="14349" max="14349" width="9.140625" style="4"/>
    <col min="14350" max="14350" width="7.5703125" style="4" customWidth="1"/>
    <col min="14351" max="14352" width="2.7109375" style="4" customWidth="1"/>
    <col min="14353" max="14595" width="9.140625" style="4"/>
    <col min="14596" max="14596" width="2.7109375" style="4" customWidth="1"/>
    <col min="14597" max="14597" width="3.42578125" style="4" bestFit="1" customWidth="1"/>
    <col min="14598" max="14603" width="9.140625" style="4"/>
    <col min="14604" max="14604" width="10.140625" style="4" customWidth="1"/>
    <col min="14605" max="14605" width="9.140625" style="4"/>
    <col min="14606" max="14606" width="7.5703125" style="4" customWidth="1"/>
    <col min="14607" max="14608" width="2.7109375" style="4" customWidth="1"/>
    <col min="14609" max="14851" width="9.140625" style="4"/>
    <col min="14852" max="14852" width="2.7109375" style="4" customWidth="1"/>
    <col min="14853" max="14853" width="3.42578125" style="4" bestFit="1" customWidth="1"/>
    <col min="14854" max="14859" width="9.140625" style="4"/>
    <col min="14860" max="14860" width="10.140625" style="4" customWidth="1"/>
    <col min="14861" max="14861" width="9.140625" style="4"/>
    <col min="14862" max="14862" width="7.5703125" style="4" customWidth="1"/>
    <col min="14863" max="14864" width="2.7109375" style="4" customWidth="1"/>
    <col min="14865" max="15107" width="9.140625" style="4"/>
    <col min="15108" max="15108" width="2.7109375" style="4" customWidth="1"/>
    <col min="15109" max="15109" width="3.42578125" style="4" bestFit="1" customWidth="1"/>
    <col min="15110" max="15115" width="9.140625" style="4"/>
    <col min="15116" max="15116" width="10.140625" style="4" customWidth="1"/>
    <col min="15117" max="15117" width="9.140625" style="4"/>
    <col min="15118" max="15118" width="7.5703125" style="4" customWidth="1"/>
    <col min="15119" max="15120" width="2.7109375" style="4" customWidth="1"/>
    <col min="15121" max="15363" width="9.140625" style="4"/>
    <col min="15364" max="15364" width="2.7109375" style="4" customWidth="1"/>
    <col min="15365" max="15365" width="3.42578125" style="4" bestFit="1" customWidth="1"/>
    <col min="15366" max="15371" width="9.140625" style="4"/>
    <col min="15372" max="15372" width="10.140625" style="4" customWidth="1"/>
    <col min="15373" max="15373" width="9.140625" style="4"/>
    <col min="15374" max="15374" width="7.5703125" style="4" customWidth="1"/>
    <col min="15375" max="15376" width="2.7109375" style="4" customWidth="1"/>
    <col min="15377" max="15619" width="9.140625" style="4"/>
    <col min="15620" max="15620" width="2.7109375" style="4" customWidth="1"/>
    <col min="15621" max="15621" width="3.42578125" style="4" bestFit="1" customWidth="1"/>
    <col min="15622" max="15627" width="9.140625" style="4"/>
    <col min="15628" max="15628" width="10.140625" style="4" customWidth="1"/>
    <col min="15629" max="15629" width="9.140625" style="4"/>
    <col min="15630" max="15630" width="7.5703125" style="4" customWidth="1"/>
    <col min="15631" max="15632" width="2.7109375" style="4" customWidth="1"/>
    <col min="15633" max="15875" width="9.140625" style="4"/>
    <col min="15876" max="15876" width="2.7109375" style="4" customWidth="1"/>
    <col min="15877" max="15877" width="3.42578125" style="4" bestFit="1" customWidth="1"/>
    <col min="15878" max="15883" width="9.140625" style="4"/>
    <col min="15884" max="15884" width="10.140625" style="4" customWidth="1"/>
    <col min="15885" max="15885" width="9.140625" style="4"/>
    <col min="15886" max="15886" width="7.5703125" style="4" customWidth="1"/>
    <col min="15887" max="15888" width="2.7109375" style="4" customWidth="1"/>
    <col min="15889" max="16131" width="9.140625" style="4"/>
    <col min="16132" max="16132" width="2.7109375" style="4" customWidth="1"/>
    <col min="16133" max="16133" width="3.42578125" style="4" bestFit="1" customWidth="1"/>
    <col min="16134" max="16139" width="9.140625" style="4"/>
    <col min="16140" max="16140" width="10.140625" style="4" customWidth="1"/>
    <col min="16141" max="16141" width="9.140625" style="4"/>
    <col min="16142" max="16142" width="7.5703125" style="4" customWidth="1"/>
    <col min="16143" max="16144" width="2.7109375" style="4" customWidth="1"/>
    <col min="16145" max="16384" width="9.140625" style="4"/>
  </cols>
  <sheetData>
    <row r="1" spans="2:20" ht="9" customHeight="1" thickBot="1" x14ac:dyDescent="0.25">
      <c r="B1" s="129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/>
    </row>
    <row r="2" spans="2:20" ht="15.75" customHeight="1" x14ac:dyDescent="0.2">
      <c r="B2" s="132"/>
      <c r="C2" s="231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3"/>
      <c r="O2" s="134"/>
    </row>
    <row r="3" spans="2:20" ht="12.75" customHeight="1" x14ac:dyDescent="0.2">
      <c r="B3" s="132"/>
      <c r="C3" s="234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6"/>
      <c r="O3" s="134"/>
    </row>
    <row r="4" spans="2:20" ht="12.75" customHeight="1" x14ac:dyDescent="0.2">
      <c r="B4" s="132"/>
      <c r="C4" s="234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6"/>
      <c r="O4" s="134"/>
    </row>
    <row r="5" spans="2:20" ht="13.5" customHeight="1" thickBot="1" x14ac:dyDescent="0.25">
      <c r="B5" s="132"/>
      <c r="C5" s="237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9"/>
      <c r="O5" s="134"/>
    </row>
    <row r="6" spans="2:20" ht="14.1" customHeight="1" thickBot="1" x14ac:dyDescent="0.25">
      <c r="B6" s="132"/>
      <c r="C6" s="10"/>
      <c r="E6" s="11"/>
      <c r="F6" s="11"/>
      <c r="G6" s="11"/>
      <c r="H6" s="11"/>
      <c r="I6" s="11"/>
      <c r="J6" s="11"/>
      <c r="K6" s="14"/>
      <c r="L6" s="137"/>
      <c r="M6" s="137"/>
      <c r="N6" s="77"/>
      <c r="O6" s="134"/>
    </row>
    <row r="7" spans="2:20" ht="12.75" customHeight="1" x14ac:dyDescent="0.2">
      <c r="B7" s="132"/>
      <c r="C7" s="224" t="s">
        <v>1</v>
      </c>
      <c r="D7" s="225"/>
      <c r="E7" s="7" t="s">
        <v>2</v>
      </c>
      <c r="F7" s="7"/>
      <c r="G7" s="7"/>
      <c r="H7" s="7"/>
      <c r="I7" s="7"/>
      <c r="J7" s="7"/>
      <c r="K7" s="7"/>
      <c r="L7" s="19" t="s">
        <v>273</v>
      </c>
      <c r="M7" s="138" t="str">
        <f>'Equipe Técnica Exec.'!K8</f>
        <v>141 / 2025</v>
      </c>
      <c r="N7" s="133"/>
      <c r="O7" s="134"/>
    </row>
    <row r="8" spans="2:20" ht="12.75" customHeight="1" x14ac:dyDescent="0.2">
      <c r="B8" s="132"/>
      <c r="C8" s="226" t="s">
        <v>5</v>
      </c>
      <c r="D8" s="227"/>
      <c r="E8" s="4" t="s">
        <v>6</v>
      </c>
      <c r="J8" s="139"/>
      <c r="K8" s="139"/>
      <c r="L8" s="79" t="s">
        <v>196</v>
      </c>
      <c r="M8" s="139">
        <f>'Equipe Técnica Exec.'!K9</f>
        <v>13</v>
      </c>
      <c r="N8" s="135"/>
      <c r="O8" s="134"/>
    </row>
    <row r="9" spans="2:20" ht="32.450000000000003" customHeight="1" thickBot="1" x14ac:dyDescent="0.25">
      <c r="B9" s="132"/>
      <c r="C9" s="228" t="s">
        <v>8</v>
      </c>
      <c r="D9" s="229"/>
      <c r="E9" s="230" t="s">
        <v>9</v>
      </c>
      <c r="F9" s="230"/>
      <c r="G9" s="230"/>
      <c r="H9" s="230"/>
      <c r="I9" s="230"/>
      <c r="J9" s="230"/>
      <c r="K9" s="116"/>
      <c r="L9" s="80" t="s">
        <v>10</v>
      </c>
      <c r="M9" s="140">
        <f>'Equipe Técnica Exec.'!K10</f>
        <v>46235</v>
      </c>
      <c r="N9" s="136"/>
      <c r="O9" s="134"/>
    </row>
    <row r="10" spans="2:20" ht="14.1" customHeight="1" thickBot="1" x14ac:dyDescent="0.25">
      <c r="B10" s="132"/>
      <c r="C10" s="10"/>
      <c r="N10" s="13"/>
      <c r="O10" s="134"/>
      <c r="R10" s="141">
        <f>E12</f>
        <v>46235</v>
      </c>
    </row>
    <row r="11" spans="2:20" ht="18" customHeight="1" thickBot="1" x14ac:dyDescent="0.25">
      <c r="B11" s="132"/>
      <c r="C11" s="142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4"/>
      <c r="O11" s="134"/>
    </row>
    <row r="12" spans="2:20" ht="18" customHeight="1" thickBot="1" x14ac:dyDescent="0.25">
      <c r="B12" s="132"/>
      <c r="C12" s="145"/>
      <c r="D12" s="146" t="s">
        <v>274</v>
      </c>
      <c r="E12" s="147">
        <f>M9</f>
        <v>46235</v>
      </c>
      <c r="F12" s="148"/>
      <c r="G12" s="148"/>
      <c r="H12" s="149"/>
      <c r="I12" s="150"/>
      <c r="J12" s="151"/>
      <c r="K12" s="210" t="s">
        <v>275</v>
      </c>
      <c r="L12" s="211"/>
      <c r="M12" s="212"/>
      <c r="N12" s="152"/>
      <c r="O12" s="134"/>
    </row>
    <row r="13" spans="2:20" ht="15" customHeight="1" thickBot="1" x14ac:dyDescent="0.25">
      <c r="B13" s="132"/>
      <c r="C13" s="10"/>
      <c r="D13" s="213" t="s">
        <v>276</v>
      </c>
      <c r="E13" s="214"/>
      <c r="F13" s="217" t="s">
        <v>277</v>
      </c>
      <c r="G13" s="218"/>
      <c r="H13" s="218"/>
      <c r="I13" s="219" t="s">
        <v>278</v>
      </c>
      <c r="K13" s="221"/>
      <c r="L13" s="222"/>
      <c r="M13" s="223"/>
      <c r="N13" s="13"/>
      <c r="O13" s="134"/>
      <c r="R13" s="78" t="str">
        <f>D13</f>
        <v>Dia</v>
      </c>
      <c r="S13" s="4" t="str">
        <f>I13</f>
        <v>Precipitação (mm)</v>
      </c>
    </row>
    <row r="14" spans="2:20" ht="15" customHeight="1" x14ac:dyDescent="0.2">
      <c r="B14" s="132"/>
      <c r="C14" s="10"/>
      <c r="D14" s="215"/>
      <c r="E14" s="216"/>
      <c r="F14" s="153" t="s">
        <v>279</v>
      </c>
      <c r="G14" s="153" t="s">
        <v>280</v>
      </c>
      <c r="H14" s="154" t="s">
        <v>281</v>
      </c>
      <c r="I14" s="220"/>
      <c r="J14" s="155"/>
      <c r="K14" s="156"/>
      <c r="L14" s="157"/>
      <c r="M14" s="158"/>
      <c r="N14" s="135"/>
      <c r="O14" s="134"/>
      <c r="R14" s="159">
        <f>D15</f>
        <v>46235</v>
      </c>
      <c r="S14" s="160">
        <f>I15</f>
        <v>0</v>
      </c>
      <c r="T14" s="160"/>
    </row>
    <row r="15" spans="2:20" ht="15" customHeight="1" x14ac:dyDescent="0.25">
      <c r="B15" s="132"/>
      <c r="C15" s="10"/>
      <c r="D15" s="161">
        <v>46235</v>
      </c>
      <c r="E15" s="162" t="str">
        <f>IF(WEEKDAY(D15)=1,"DOM",IF(WEEKDAY(D15)=2,"SEG",IF(WEEKDAY(D15)=3,"TER",IF(WEEKDAY(D15)=4,"QUA",IF(WEEKDAY(D15)=5,"QUI",IF(WEEKDAY(D15)=6,"SEX","SÁB"))))))</f>
        <v>SÁB</v>
      </c>
      <c r="F15" s="163">
        <v>0</v>
      </c>
      <c r="G15" s="163">
        <v>0</v>
      </c>
      <c r="H15" s="163">
        <v>0</v>
      </c>
      <c r="I15" s="164">
        <f>SUM(F15:H15)</f>
        <v>0</v>
      </c>
      <c r="J15" s="165"/>
      <c r="K15" s="166"/>
      <c r="L15" s="155"/>
      <c r="M15" s="167"/>
      <c r="N15" s="168"/>
      <c r="O15" s="134"/>
      <c r="R15" s="159">
        <f>D16</f>
        <v>46236</v>
      </c>
      <c r="S15" s="160">
        <f t="shared" ref="S15:S41" si="0">I16</f>
        <v>0</v>
      </c>
      <c r="T15" s="160"/>
    </row>
    <row r="16" spans="2:20" ht="15" customHeight="1" x14ac:dyDescent="0.25">
      <c r="B16" s="132"/>
      <c r="C16" s="10"/>
      <c r="D16" s="161">
        <f>D15+1</f>
        <v>46236</v>
      </c>
      <c r="E16" s="162" t="str">
        <f t="shared" ref="E16:E46" si="1">IF(WEEKDAY(D16)=1,"DOM",IF(WEEKDAY(D16)=2,"SEG",IF(WEEKDAY(D16)=3,"TER",IF(WEEKDAY(D16)=4,"QUA",IF(WEEKDAY(D16)=5,"QUI",IF(WEEKDAY(D16)=6,"SEX","SÁB"))))))</f>
        <v>DOM</v>
      </c>
      <c r="F16" s="163">
        <v>0</v>
      </c>
      <c r="G16" s="163">
        <v>0</v>
      </c>
      <c r="H16" s="163">
        <v>0</v>
      </c>
      <c r="I16" s="164">
        <f t="shared" ref="I16:I46" si="2">SUM(F16:H16)</f>
        <v>0</v>
      </c>
      <c r="K16" s="207" t="s">
        <v>282</v>
      </c>
      <c r="L16" s="208"/>
      <c r="M16" s="209"/>
      <c r="N16" s="135"/>
      <c r="O16" s="134"/>
      <c r="R16" s="159">
        <f t="shared" ref="R16:R41" si="3">D17</f>
        <v>46237</v>
      </c>
      <c r="S16" s="160">
        <f t="shared" si="0"/>
        <v>0</v>
      </c>
      <c r="T16" s="160"/>
    </row>
    <row r="17" spans="2:20" ht="15" customHeight="1" x14ac:dyDescent="0.25">
      <c r="B17" s="132"/>
      <c r="C17" s="10"/>
      <c r="D17" s="161">
        <f t="shared" ref="D17:D46" si="4">D16+1</f>
        <v>46237</v>
      </c>
      <c r="E17" s="162" t="str">
        <f t="shared" si="1"/>
        <v>SEG</v>
      </c>
      <c r="F17" s="163">
        <v>0</v>
      </c>
      <c r="G17" s="163">
        <v>0</v>
      </c>
      <c r="H17" s="163">
        <v>0</v>
      </c>
      <c r="I17" s="164">
        <f>SUM(F17:H17)</f>
        <v>0</v>
      </c>
      <c r="K17" s="166"/>
      <c r="L17" s="155"/>
      <c r="M17" s="167"/>
      <c r="N17" s="13"/>
      <c r="O17" s="134"/>
      <c r="R17" s="159">
        <f t="shared" si="3"/>
        <v>46238</v>
      </c>
      <c r="S17" s="160">
        <f t="shared" si="0"/>
        <v>0</v>
      </c>
      <c r="T17" s="160"/>
    </row>
    <row r="18" spans="2:20" ht="15" customHeight="1" x14ac:dyDescent="0.25">
      <c r="B18" s="132"/>
      <c r="C18" s="10"/>
      <c r="D18" s="161">
        <f t="shared" si="4"/>
        <v>46238</v>
      </c>
      <c r="E18" s="162" t="str">
        <f t="shared" si="1"/>
        <v>TER</v>
      </c>
      <c r="F18" s="163">
        <v>0</v>
      </c>
      <c r="G18" s="163">
        <v>0</v>
      </c>
      <c r="H18" s="163">
        <v>0</v>
      </c>
      <c r="I18" s="164">
        <f>SUM(F18:H18)</f>
        <v>0</v>
      </c>
      <c r="J18" s="169"/>
      <c r="K18" s="204">
        <f>SUM(I15:I46)</f>
        <v>56.5</v>
      </c>
      <c r="L18" s="205"/>
      <c r="M18" s="206"/>
      <c r="N18" s="170"/>
      <c r="O18" s="134"/>
      <c r="R18" s="159">
        <f t="shared" si="3"/>
        <v>46239</v>
      </c>
      <c r="S18" s="160">
        <f t="shared" si="0"/>
        <v>3</v>
      </c>
      <c r="T18" s="160"/>
    </row>
    <row r="19" spans="2:20" ht="15" customHeight="1" x14ac:dyDescent="0.25">
      <c r="B19" s="132"/>
      <c r="C19" s="10"/>
      <c r="D19" s="161">
        <f t="shared" si="4"/>
        <v>46239</v>
      </c>
      <c r="E19" s="162" t="str">
        <f t="shared" si="1"/>
        <v>QUA</v>
      </c>
      <c r="F19" s="163">
        <v>0</v>
      </c>
      <c r="G19" s="163">
        <v>3</v>
      </c>
      <c r="H19" s="163">
        <v>0</v>
      </c>
      <c r="I19" s="164">
        <f t="shared" si="2"/>
        <v>3</v>
      </c>
      <c r="J19" s="34"/>
      <c r="K19" s="166"/>
      <c r="L19" s="155"/>
      <c r="M19" s="167"/>
      <c r="N19" s="135"/>
      <c r="O19" s="134"/>
      <c r="R19" s="159">
        <f t="shared" si="3"/>
        <v>46240</v>
      </c>
      <c r="S19" s="160">
        <f t="shared" si="0"/>
        <v>8.5</v>
      </c>
      <c r="T19" s="160"/>
    </row>
    <row r="20" spans="2:20" ht="15" customHeight="1" x14ac:dyDescent="0.25">
      <c r="B20" s="132"/>
      <c r="C20" s="10"/>
      <c r="D20" s="161">
        <f t="shared" si="4"/>
        <v>46240</v>
      </c>
      <c r="E20" s="162" t="str">
        <f t="shared" si="1"/>
        <v>QUI</v>
      </c>
      <c r="F20" s="163">
        <v>0</v>
      </c>
      <c r="G20" s="163">
        <v>2.5</v>
      </c>
      <c r="H20" s="163">
        <v>6</v>
      </c>
      <c r="I20" s="164">
        <f t="shared" si="2"/>
        <v>8.5</v>
      </c>
      <c r="J20" s="34"/>
      <c r="K20" s="166"/>
      <c r="L20" s="155"/>
      <c r="M20" s="167"/>
      <c r="N20" s="135"/>
      <c r="O20" s="134"/>
      <c r="R20" s="159">
        <f t="shared" si="3"/>
        <v>46241</v>
      </c>
      <c r="S20" s="160">
        <f t="shared" si="0"/>
        <v>10</v>
      </c>
      <c r="T20" s="160"/>
    </row>
    <row r="21" spans="2:20" ht="15" customHeight="1" x14ac:dyDescent="0.25">
      <c r="B21" s="132"/>
      <c r="C21" s="10"/>
      <c r="D21" s="161">
        <f t="shared" si="4"/>
        <v>46241</v>
      </c>
      <c r="E21" s="162" t="str">
        <f t="shared" si="1"/>
        <v>SEX</v>
      </c>
      <c r="F21" s="163">
        <v>3</v>
      </c>
      <c r="G21" s="163">
        <v>7</v>
      </c>
      <c r="H21" s="163">
        <v>0</v>
      </c>
      <c r="I21" s="164">
        <f t="shared" si="2"/>
        <v>10</v>
      </c>
      <c r="J21" s="34"/>
      <c r="K21" s="207" t="s">
        <v>283</v>
      </c>
      <c r="L21" s="208"/>
      <c r="M21" s="209"/>
      <c r="N21" s="135"/>
      <c r="O21" s="134"/>
      <c r="R21" s="159">
        <f t="shared" si="3"/>
        <v>46242</v>
      </c>
      <c r="S21" s="160">
        <f t="shared" si="0"/>
        <v>0</v>
      </c>
      <c r="T21" s="160"/>
    </row>
    <row r="22" spans="2:20" ht="15" customHeight="1" x14ac:dyDescent="0.25">
      <c r="B22" s="132"/>
      <c r="C22" s="10"/>
      <c r="D22" s="161">
        <f t="shared" si="4"/>
        <v>46242</v>
      </c>
      <c r="E22" s="162" t="str">
        <f t="shared" si="1"/>
        <v>SÁB</v>
      </c>
      <c r="F22" s="163">
        <v>0</v>
      </c>
      <c r="G22" s="163">
        <v>0</v>
      </c>
      <c r="H22" s="163">
        <v>0</v>
      </c>
      <c r="I22" s="164">
        <f t="shared" si="2"/>
        <v>0</v>
      </c>
      <c r="J22" s="34"/>
      <c r="K22" s="166"/>
      <c r="L22" s="155"/>
      <c r="M22" s="167"/>
      <c r="N22" s="135"/>
      <c r="O22" s="134"/>
      <c r="R22" s="159">
        <f t="shared" si="3"/>
        <v>46243</v>
      </c>
      <c r="S22" s="160">
        <f t="shared" si="0"/>
        <v>0</v>
      </c>
      <c r="T22" s="160"/>
    </row>
    <row r="23" spans="2:20" ht="15" customHeight="1" x14ac:dyDescent="0.25">
      <c r="B23" s="132"/>
      <c r="C23" s="10"/>
      <c r="D23" s="161">
        <f t="shared" si="4"/>
        <v>46243</v>
      </c>
      <c r="E23" s="162" t="str">
        <f t="shared" si="1"/>
        <v>DOM</v>
      </c>
      <c r="F23" s="163">
        <v>0</v>
      </c>
      <c r="G23" s="163">
        <v>0</v>
      </c>
      <c r="H23" s="163">
        <v>0</v>
      </c>
      <c r="I23" s="164">
        <f t="shared" si="2"/>
        <v>0</v>
      </c>
      <c r="J23" s="34"/>
      <c r="K23" s="204">
        <f>SUM(T52:T62)</f>
        <v>0</v>
      </c>
      <c r="L23" s="205"/>
      <c r="M23" s="206"/>
      <c r="N23" s="135"/>
      <c r="O23" s="134"/>
      <c r="R23" s="159">
        <f t="shared" si="3"/>
        <v>46244</v>
      </c>
      <c r="S23" s="160">
        <f t="shared" si="0"/>
        <v>0</v>
      </c>
      <c r="T23" s="160"/>
    </row>
    <row r="24" spans="2:20" ht="15" customHeight="1" x14ac:dyDescent="0.25">
      <c r="B24" s="132"/>
      <c r="C24" s="10"/>
      <c r="D24" s="161">
        <f t="shared" si="4"/>
        <v>46244</v>
      </c>
      <c r="E24" s="162" t="str">
        <f t="shared" si="1"/>
        <v>SEG</v>
      </c>
      <c r="F24" s="163">
        <v>0</v>
      </c>
      <c r="G24" s="163">
        <v>0</v>
      </c>
      <c r="H24" s="163">
        <v>0</v>
      </c>
      <c r="I24" s="164">
        <f t="shared" si="2"/>
        <v>0</v>
      </c>
      <c r="K24" s="166"/>
      <c r="L24" s="155"/>
      <c r="M24" s="167"/>
      <c r="N24" s="13"/>
      <c r="O24" s="134"/>
      <c r="R24" s="159">
        <f t="shared" si="3"/>
        <v>46245</v>
      </c>
      <c r="S24" s="160">
        <f t="shared" si="0"/>
        <v>0</v>
      </c>
      <c r="T24" s="160"/>
    </row>
    <row r="25" spans="2:20" ht="15" customHeight="1" x14ac:dyDescent="0.25">
      <c r="B25" s="132"/>
      <c r="C25" s="10"/>
      <c r="D25" s="161">
        <f t="shared" si="4"/>
        <v>46245</v>
      </c>
      <c r="E25" s="162" t="str">
        <f t="shared" si="1"/>
        <v>TER</v>
      </c>
      <c r="F25" s="163">
        <v>0</v>
      </c>
      <c r="G25" s="163">
        <v>0</v>
      </c>
      <c r="H25" s="163">
        <v>0</v>
      </c>
      <c r="I25" s="164">
        <f t="shared" si="2"/>
        <v>0</v>
      </c>
      <c r="K25" s="166"/>
      <c r="L25" s="155"/>
      <c r="M25" s="167"/>
      <c r="N25" s="13"/>
      <c r="O25" s="134"/>
      <c r="R25" s="159">
        <f t="shared" si="3"/>
        <v>46246</v>
      </c>
      <c r="S25" s="160">
        <f t="shared" si="0"/>
        <v>0</v>
      </c>
      <c r="T25" s="160"/>
    </row>
    <row r="26" spans="2:20" ht="15" customHeight="1" x14ac:dyDescent="0.25">
      <c r="B26" s="132"/>
      <c r="C26" s="10"/>
      <c r="D26" s="161">
        <f t="shared" si="4"/>
        <v>46246</v>
      </c>
      <c r="E26" s="162" t="str">
        <f t="shared" si="1"/>
        <v>QUA</v>
      </c>
      <c r="F26" s="163">
        <v>0</v>
      </c>
      <c r="G26" s="163">
        <v>0</v>
      </c>
      <c r="H26" s="163">
        <v>0</v>
      </c>
      <c r="I26" s="164">
        <f t="shared" si="2"/>
        <v>0</v>
      </c>
      <c r="K26" s="207" t="s">
        <v>284</v>
      </c>
      <c r="L26" s="208"/>
      <c r="M26" s="209"/>
      <c r="N26" s="13"/>
      <c r="O26" s="134"/>
      <c r="R26" s="159">
        <f t="shared" si="3"/>
        <v>46247</v>
      </c>
      <c r="S26" s="160">
        <f t="shared" si="0"/>
        <v>0</v>
      </c>
      <c r="T26" s="160"/>
    </row>
    <row r="27" spans="2:20" ht="15" customHeight="1" x14ac:dyDescent="0.25">
      <c r="B27" s="132"/>
      <c r="C27" s="10"/>
      <c r="D27" s="161">
        <f t="shared" si="4"/>
        <v>46247</v>
      </c>
      <c r="E27" s="162" t="str">
        <f t="shared" si="1"/>
        <v>QUI</v>
      </c>
      <c r="F27" s="163">
        <v>0</v>
      </c>
      <c r="G27" s="163">
        <v>0</v>
      </c>
      <c r="H27" s="163">
        <v>0</v>
      </c>
      <c r="I27" s="164">
        <f t="shared" si="2"/>
        <v>0</v>
      </c>
      <c r="K27" s="166"/>
      <c r="L27" s="155"/>
      <c r="M27" s="167"/>
      <c r="N27" s="13"/>
      <c r="O27" s="134"/>
      <c r="R27" s="159">
        <f t="shared" si="3"/>
        <v>46248</v>
      </c>
      <c r="S27" s="160">
        <f t="shared" si="0"/>
        <v>0</v>
      </c>
      <c r="T27" s="160"/>
    </row>
    <row r="28" spans="2:20" ht="15" customHeight="1" x14ac:dyDescent="0.25">
      <c r="B28" s="132"/>
      <c r="C28" s="10"/>
      <c r="D28" s="161">
        <f t="shared" si="4"/>
        <v>46248</v>
      </c>
      <c r="E28" s="162" t="str">
        <f t="shared" si="1"/>
        <v>SEX</v>
      </c>
      <c r="F28" s="163">
        <v>0</v>
      </c>
      <c r="G28" s="163">
        <v>0</v>
      </c>
      <c r="H28" s="163">
        <v>0</v>
      </c>
      <c r="I28" s="164">
        <f t="shared" si="2"/>
        <v>0</v>
      </c>
      <c r="K28" s="204">
        <f>K23+K18</f>
        <v>56.5</v>
      </c>
      <c r="L28" s="205"/>
      <c r="M28" s="206"/>
      <c r="N28" s="13"/>
      <c r="O28" s="134"/>
      <c r="R28" s="159">
        <f t="shared" si="3"/>
        <v>46249</v>
      </c>
      <c r="S28" s="160">
        <f t="shared" si="0"/>
        <v>0</v>
      </c>
      <c r="T28" s="160"/>
    </row>
    <row r="29" spans="2:20" ht="15" customHeight="1" x14ac:dyDescent="0.25">
      <c r="B29" s="132"/>
      <c r="C29" s="10"/>
      <c r="D29" s="161">
        <f t="shared" si="4"/>
        <v>46249</v>
      </c>
      <c r="E29" s="162" t="str">
        <f t="shared" si="1"/>
        <v>SÁB</v>
      </c>
      <c r="F29" s="163">
        <v>0</v>
      </c>
      <c r="G29" s="163">
        <v>0</v>
      </c>
      <c r="H29" s="163">
        <v>0</v>
      </c>
      <c r="I29" s="164">
        <f t="shared" si="2"/>
        <v>0</v>
      </c>
      <c r="K29" s="166"/>
      <c r="L29" s="155"/>
      <c r="M29" s="167"/>
      <c r="N29" s="13"/>
      <c r="O29" s="134"/>
      <c r="R29" s="159">
        <f t="shared" si="3"/>
        <v>46250</v>
      </c>
      <c r="S29" s="160">
        <f t="shared" si="0"/>
        <v>0</v>
      </c>
      <c r="T29" s="160"/>
    </row>
    <row r="30" spans="2:20" ht="15" customHeight="1" thickBot="1" x14ac:dyDescent="0.3">
      <c r="B30" s="132"/>
      <c r="C30" s="10"/>
      <c r="D30" s="161">
        <f t="shared" si="4"/>
        <v>46250</v>
      </c>
      <c r="E30" s="162" t="str">
        <f t="shared" si="1"/>
        <v>DOM</v>
      </c>
      <c r="F30" s="163">
        <v>0</v>
      </c>
      <c r="G30" s="163">
        <v>0</v>
      </c>
      <c r="H30" s="163">
        <v>0</v>
      </c>
      <c r="I30" s="164">
        <f t="shared" si="2"/>
        <v>0</v>
      </c>
      <c r="K30" s="207" t="s">
        <v>285</v>
      </c>
      <c r="L30" s="208"/>
      <c r="M30" s="209"/>
      <c r="N30" s="13"/>
      <c r="O30" s="134"/>
      <c r="R30" s="159">
        <f t="shared" si="3"/>
        <v>46251</v>
      </c>
      <c r="S30" s="160">
        <f t="shared" si="0"/>
        <v>0</v>
      </c>
      <c r="T30" s="160"/>
    </row>
    <row r="31" spans="2:20" ht="15" customHeight="1" x14ac:dyDescent="0.25">
      <c r="B31" s="132"/>
      <c r="C31" s="10"/>
      <c r="D31" s="161">
        <f t="shared" si="4"/>
        <v>46251</v>
      </c>
      <c r="E31" s="162" t="str">
        <f t="shared" si="1"/>
        <v>SEG</v>
      </c>
      <c r="F31" s="163">
        <v>0</v>
      </c>
      <c r="G31" s="163">
        <v>0</v>
      </c>
      <c r="H31" s="163">
        <v>0</v>
      </c>
      <c r="I31" s="164">
        <f t="shared" si="2"/>
        <v>0</v>
      </c>
      <c r="K31" s="157"/>
      <c r="L31" s="157"/>
      <c r="M31" s="157"/>
      <c r="N31" s="13"/>
      <c r="O31" s="134"/>
      <c r="R31" s="159">
        <f t="shared" si="3"/>
        <v>46252</v>
      </c>
      <c r="S31" s="160">
        <f t="shared" si="0"/>
        <v>0</v>
      </c>
      <c r="T31" s="160"/>
    </row>
    <row r="32" spans="2:20" ht="15" customHeight="1" x14ac:dyDescent="0.25">
      <c r="B32" s="132"/>
      <c r="C32" s="10"/>
      <c r="D32" s="161">
        <f t="shared" si="4"/>
        <v>46252</v>
      </c>
      <c r="E32" s="162" t="str">
        <f t="shared" si="1"/>
        <v>TER</v>
      </c>
      <c r="F32" s="163">
        <v>0</v>
      </c>
      <c r="G32" s="163">
        <v>0</v>
      </c>
      <c r="H32" s="163">
        <v>0</v>
      </c>
      <c r="I32" s="164">
        <f t="shared" si="2"/>
        <v>0</v>
      </c>
      <c r="K32" s="155"/>
      <c r="L32" s="155"/>
      <c r="M32" s="155"/>
      <c r="N32" s="13"/>
      <c r="O32" s="134"/>
      <c r="R32" s="159">
        <f t="shared" si="3"/>
        <v>46253</v>
      </c>
      <c r="S32" s="160">
        <f t="shared" si="0"/>
        <v>0</v>
      </c>
      <c r="T32" s="160"/>
    </row>
    <row r="33" spans="2:20" ht="15" customHeight="1" x14ac:dyDescent="0.25">
      <c r="B33" s="132"/>
      <c r="C33" s="10"/>
      <c r="D33" s="161">
        <f t="shared" si="4"/>
        <v>46253</v>
      </c>
      <c r="E33" s="162" t="str">
        <f t="shared" si="1"/>
        <v>QUA</v>
      </c>
      <c r="F33" s="163">
        <v>0</v>
      </c>
      <c r="G33" s="163">
        <v>0</v>
      </c>
      <c r="H33" s="163">
        <v>0</v>
      </c>
      <c r="I33" s="164">
        <f t="shared" si="2"/>
        <v>0</v>
      </c>
      <c r="K33" s="155"/>
      <c r="L33" s="155"/>
      <c r="M33" s="155"/>
      <c r="N33" s="13"/>
      <c r="O33" s="134"/>
      <c r="R33" s="159">
        <f t="shared" si="3"/>
        <v>46254</v>
      </c>
      <c r="S33" s="160">
        <f t="shared" si="0"/>
        <v>0</v>
      </c>
      <c r="T33" s="160"/>
    </row>
    <row r="34" spans="2:20" ht="15" customHeight="1" x14ac:dyDescent="0.25">
      <c r="B34" s="132"/>
      <c r="C34" s="10"/>
      <c r="D34" s="161">
        <f t="shared" si="4"/>
        <v>46254</v>
      </c>
      <c r="E34" s="162" t="str">
        <f t="shared" si="1"/>
        <v>QUI</v>
      </c>
      <c r="F34" s="163">
        <v>0</v>
      </c>
      <c r="G34" s="163">
        <v>0</v>
      </c>
      <c r="H34" s="163">
        <v>0</v>
      </c>
      <c r="I34" s="164">
        <f t="shared" si="2"/>
        <v>0</v>
      </c>
      <c r="K34" s="155"/>
      <c r="L34" s="155"/>
      <c r="M34" s="155"/>
      <c r="N34" s="13"/>
      <c r="O34" s="134"/>
      <c r="R34" s="159">
        <f t="shared" si="3"/>
        <v>46255</v>
      </c>
      <c r="S34" s="160">
        <f t="shared" si="0"/>
        <v>0</v>
      </c>
      <c r="T34" s="160"/>
    </row>
    <row r="35" spans="2:20" ht="15" customHeight="1" x14ac:dyDescent="0.25">
      <c r="B35" s="132"/>
      <c r="C35" s="10"/>
      <c r="D35" s="161">
        <f t="shared" si="4"/>
        <v>46255</v>
      </c>
      <c r="E35" s="162" t="str">
        <f t="shared" si="1"/>
        <v>SEX</v>
      </c>
      <c r="F35" s="163">
        <v>0</v>
      </c>
      <c r="G35" s="163">
        <v>0</v>
      </c>
      <c r="H35" s="163">
        <v>0</v>
      </c>
      <c r="I35" s="164">
        <f t="shared" si="2"/>
        <v>0</v>
      </c>
      <c r="K35" s="155"/>
      <c r="L35" s="155"/>
      <c r="M35" s="155"/>
      <c r="N35" s="13"/>
      <c r="O35" s="134"/>
      <c r="R35" s="159">
        <f t="shared" si="3"/>
        <v>46256</v>
      </c>
      <c r="S35" s="160">
        <f t="shared" si="0"/>
        <v>0</v>
      </c>
      <c r="T35" s="160"/>
    </row>
    <row r="36" spans="2:20" ht="15" customHeight="1" x14ac:dyDescent="0.25">
      <c r="B36" s="132"/>
      <c r="C36" s="10"/>
      <c r="D36" s="161">
        <f t="shared" si="4"/>
        <v>46256</v>
      </c>
      <c r="E36" s="162" t="str">
        <f t="shared" si="1"/>
        <v>SÁB</v>
      </c>
      <c r="F36" s="163">
        <v>0</v>
      </c>
      <c r="G36" s="163">
        <v>0</v>
      </c>
      <c r="H36" s="163">
        <v>0</v>
      </c>
      <c r="I36" s="164">
        <f t="shared" si="2"/>
        <v>0</v>
      </c>
      <c r="K36" s="155"/>
      <c r="L36" s="155"/>
      <c r="M36" s="155"/>
      <c r="N36" s="13"/>
      <c r="O36" s="134"/>
      <c r="R36" s="159">
        <f t="shared" si="3"/>
        <v>46257</v>
      </c>
      <c r="S36" s="160">
        <f t="shared" si="0"/>
        <v>0</v>
      </c>
      <c r="T36" s="160"/>
    </row>
    <row r="37" spans="2:20" ht="15" customHeight="1" x14ac:dyDescent="0.25">
      <c r="B37" s="132"/>
      <c r="C37" s="10"/>
      <c r="D37" s="161">
        <f t="shared" si="4"/>
        <v>46257</v>
      </c>
      <c r="E37" s="162" t="str">
        <f t="shared" si="1"/>
        <v>DOM</v>
      </c>
      <c r="F37" s="163">
        <v>0</v>
      </c>
      <c r="G37" s="163">
        <v>0</v>
      </c>
      <c r="H37" s="163">
        <v>0</v>
      </c>
      <c r="I37" s="164">
        <f t="shared" si="2"/>
        <v>0</v>
      </c>
      <c r="K37"/>
      <c r="L37" s="155" t="s">
        <v>195</v>
      </c>
      <c r="M37" s="155"/>
      <c r="N37" s="13"/>
      <c r="O37" s="134"/>
      <c r="R37" s="159">
        <f t="shared" si="3"/>
        <v>46258</v>
      </c>
      <c r="S37" s="160">
        <f t="shared" si="0"/>
        <v>0</v>
      </c>
      <c r="T37" s="160"/>
    </row>
    <row r="38" spans="2:20" ht="15" customHeight="1" x14ac:dyDescent="0.25">
      <c r="B38" s="132"/>
      <c r="C38" s="10"/>
      <c r="D38" s="161">
        <f t="shared" si="4"/>
        <v>46258</v>
      </c>
      <c r="E38" s="162" t="str">
        <f t="shared" si="1"/>
        <v>SEG</v>
      </c>
      <c r="F38" s="163">
        <v>0</v>
      </c>
      <c r="G38" s="163">
        <v>0</v>
      </c>
      <c r="H38" s="163">
        <v>0</v>
      </c>
      <c r="I38" s="164">
        <f t="shared" si="2"/>
        <v>0</v>
      </c>
      <c r="K38" s="155"/>
      <c r="L38" s="155"/>
      <c r="M38" s="155"/>
      <c r="N38" s="13"/>
      <c r="O38" s="134"/>
      <c r="R38" s="159">
        <f t="shared" si="3"/>
        <v>46259</v>
      </c>
      <c r="S38" s="160">
        <f t="shared" si="0"/>
        <v>5</v>
      </c>
      <c r="T38" s="160"/>
    </row>
    <row r="39" spans="2:20" ht="15" customHeight="1" x14ac:dyDescent="0.25">
      <c r="B39" s="132"/>
      <c r="C39" s="10"/>
      <c r="D39" s="161">
        <f t="shared" si="4"/>
        <v>46259</v>
      </c>
      <c r="E39" s="162" t="str">
        <f t="shared" si="1"/>
        <v>TER</v>
      </c>
      <c r="F39" s="163">
        <v>0</v>
      </c>
      <c r="G39" s="163">
        <v>0</v>
      </c>
      <c r="H39" s="163">
        <v>5</v>
      </c>
      <c r="I39" s="164">
        <f t="shared" si="2"/>
        <v>5</v>
      </c>
      <c r="N39" s="13"/>
      <c r="O39" s="134"/>
      <c r="R39" s="159">
        <f t="shared" si="3"/>
        <v>46260</v>
      </c>
      <c r="S39" s="160">
        <f t="shared" si="0"/>
        <v>0</v>
      </c>
      <c r="T39" s="160"/>
    </row>
    <row r="40" spans="2:20" ht="15" customHeight="1" x14ac:dyDescent="0.25">
      <c r="B40" s="132"/>
      <c r="C40" s="10"/>
      <c r="D40" s="161">
        <f t="shared" si="4"/>
        <v>46260</v>
      </c>
      <c r="E40" s="162" t="str">
        <f t="shared" si="1"/>
        <v>QUA</v>
      </c>
      <c r="F40" s="163">
        <v>0</v>
      </c>
      <c r="G40" s="163">
        <v>0</v>
      </c>
      <c r="H40" s="163">
        <v>0</v>
      </c>
      <c r="I40" s="164">
        <f t="shared" si="2"/>
        <v>0</v>
      </c>
      <c r="N40" s="13"/>
      <c r="O40" s="134"/>
      <c r="P40"/>
      <c r="R40" s="159">
        <f t="shared" si="3"/>
        <v>46261</v>
      </c>
      <c r="S40" s="160">
        <f t="shared" si="0"/>
        <v>0</v>
      </c>
      <c r="T40" s="160"/>
    </row>
    <row r="41" spans="2:20" ht="15" customHeight="1" x14ac:dyDescent="0.25">
      <c r="B41" s="132"/>
      <c r="C41" s="10"/>
      <c r="D41" s="161">
        <f t="shared" si="4"/>
        <v>46261</v>
      </c>
      <c r="E41" s="162" t="str">
        <f t="shared" si="1"/>
        <v>QUI</v>
      </c>
      <c r="F41" s="163">
        <v>0</v>
      </c>
      <c r="G41" s="163">
        <v>0</v>
      </c>
      <c r="H41" s="163">
        <v>0</v>
      </c>
      <c r="I41" s="164">
        <f t="shared" si="2"/>
        <v>0</v>
      </c>
      <c r="N41" s="13"/>
      <c r="O41" s="134"/>
      <c r="P41"/>
      <c r="R41" s="159">
        <f t="shared" si="3"/>
        <v>46262</v>
      </c>
      <c r="S41" s="160">
        <f t="shared" si="0"/>
        <v>0</v>
      </c>
      <c r="T41" s="160"/>
    </row>
    <row r="42" spans="2:20" ht="15" customHeight="1" x14ac:dyDescent="0.25">
      <c r="B42" s="132"/>
      <c r="C42" s="10"/>
      <c r="D42" s="161">
        <f t="shared" si="4"/>
        <v>46262</v>
      </c>
      <c r="E42" s="162" t="str">
        <f t="shared" si="1"/>
        <v>SEX</v>
      </c>
      <c r="F42" s="163">
        <v>0</v>
      </c>
      <c r="G42" s="163">
        <v>0</v>
      </c>
      <c r="H42" s="163">
        <v>0</v>
      </c>
      <c r="I42" s="164">
        <f t="shared" si="2"/>
        <v>0</v>
      </c>
      <c r="N42" s="13"/>
      <c r="O42" s="134"/>
      <c r="P42"/>
      <c r="R42" s="159">
        <f>D44</f>
        <v>46264</v>
      </c>
      <c r="S42" s="160">
        <f>I44</f>
        <v>0</v>
      </c>
    </row>
    <row r="43" spans="2:20" ht="15" customHeight="1" x14ac:dyDescent="0.25">
      <c r="B43" s="132"/>
      <c r="C43" s="10"/>
      <c r="D43" s="161">
        <f t="shared" si="4"/>
        <v>46263</v>
      </c>
      <c r="E43" s="162" t="str">
        <f t="shared" si="1"/>
        <v>SÁB</v>
      </c>
      <c r="F43" s="163">
        <v>0</v>
      </c>
      <c r="G43" s="163">
        <v>0</v>
      </c>
      <c r="H43" s="163">
        <v>0</v>
      </c>
      <c r="I43" s="164">
        <v>0</v>
      </c>
      <c r="N43" s="13"/>
      <c r="O43" s="134"/>
      <c r="P43"/>
      <c r="R43" s="159">
        <f>D45</f>
        <v>46265</v>
      </c>
      <c r="S43" s="160">
        <f>I45</f>
        <v>30</v>
      </c>
      <c r="T43" s="171" t="s">
        <v>286</v>
      </c>
    </row>
    <row r="44" spans="2:20" ht="15" customHeight="1" x14ac:dyDescent="0.25">
      <c r="B44" s="132"/>
      <c r="C44" s="10"/>
      <c r="D44" s="161">
        <f t="shared" si="4"/>
        <v>46264</v>
      </c>
      <c r="E44" s="162" t="str">
        <f t="shared" si="1"/>
        <v>DOM</v>
      </c>
      <c r="F44" s="163">
        <v>0</v>
      </c>
      <c r="G44" s="163">
        <v>0</v>
      </c>
      <c r="H44" s="163">
        <v>0</v>
      </c>
      <c r="I44" s="164">
        <f t="shared" si="2"/>
        <v>0</v>
      </c>
      <c r="N44" s="13"/>
      <c r="O44" s="134"/>
      <c r="P44"/>
      <c r="T44" s="171">
        <f>SUM(S14:S43)</f>
        <v>56.5</v>
      </c>
    </row>
    <row r="45" spans="2:20" ht="15" customHeight="1" thickBot="1" x14ac:dyDescent="0.3">
      <c r="B45" s="132"/>
      <c r="C45" s="10"/>
      <c r="D45" s="172">
        <f t="shared" si="4"/>
        <v>46265</v>
      </c>
      <c r="E45" s="173" t="str">
        <f t="shared" si="1"/>
        <v>SEG</v>
      </c>
      <c r="F45" s="163">
        <v>0</v>
      </c>
      <c r="G45" s="163">
        <v>0</v>
      </c>
      <c r="H45" s="163">
        <v>30</v>
      </c>
      <c r="I45" s="174">
        <f t="shared" si="2"/>
        <v>30</v>
      </c>
      <c r="N45" s="13"/>
      <c r="O45" s="134"/>
      <c r="R45" s="159"/>
      <c r="S45" s="160"/>
      <c r="T45" s="160"/>
    </row>
    <row r="46" spans="2:20" ht="15" hidden="1" customHeight="1" thickBot="1" x14ac:dyDescent="0.3">
      <c r="B46" s="132"/>
      <c r="C46" s="10"/>
      <c r="D46" s="175">
        <f t="shared" si="4"/>
        <v>46266</v>
      </c>
      <c r="E46" s="176" t="str">
        <f t="shared" si="1"/>
        <v>TER</v>
      </c>
      <c r="F46" s="177">
        <v>0</v>
      </c>
      <c r="G46" s="177">
        <v>0</v>
      </c>
      <c r="H46" s="177">
        <v>0</v>
      </c>
      <c r="I46" s="178">
        <f t="shared" si="2"/>
        <v>0</v>
      </c>
      <c r="N46" s="13"/>
      <c r="O46" s="134"/>
      <c r="R46" s="159"/>
      <c r="S46" s="160"/>
      <c r="T46" s="160"/>
    </row>
    <row r="47" spans="2:20" ht="15" customHeight="1" x14ac:dyDescent="0.25">
      <c r="B47" s="132"/>
      <c r="C47" s="10"/>
      <c r="D47" s="179"/>
      <c r="E47" s="180"/>
      <c r="F47" s="181"/>
      <c r="H47" s="181"/>
      <c r="I47" s="182"/>
      <c r="N47" s="13"/>
      <c r="O47" s="134"/>
      <c r="R47" s="159"/>
      <c r="S47" s="160"/>
      <c r="T47" s="160"/>
    </row>
    <row r="48" spans="2:20" ht="15" customHeight="1" x14ac:dyDescent="0.25">
      <c r="B48" s="132"/>
      <c r="C48" s="10"/>
      <c r="D48" s="179"/>
      <c r="E48" s="180"/>
      <c r="F48" s="181"/>
      <c r="G48" s="181"/>
      <c r="H48" s="181"/>
      <c r="I48" s="182"/>
      <c r="N48" s="13"/>
      <c r="O48" s="134"/>
      <c r="R48" s="159"/>
      <c r="S48" s="183">
        <f>SUM(S14:S46)</f>
        <v>56.5</v>
      </c>
      <c r="T48" s="183" t="s">
        <v>287</v>
      </c>
    </row>
    <row r="49" spans="2:26" ht="16.149999999999999" customHeight="1" x14ac:dyDescent="0.25">
      <c r="B49" s="132"/>
      <c r="C49" s="10"/>
      <c r="D49" s="179"/>
      <c r="E49" s="180"/>
      <c r="F49" s="181"/>
      <c r="G49" s="181"/>
      <c r="H49" s="181"/>
      <c r="I49" s="182"/>
      <c r="J49" s="159"/>
      <c r="N49" s="13"/>
      <c r="O49" s="134"/>
    </row>
    <row r="50" spans="2:26" x14ac:dyDescent="0.2">
      <c r="B50" s="132"/>
      <c r="C50" s="10"/>
      <c r="N50" s="13"/>
      <c r="O50" s="134"/>
      <c r="R50" s="159"/>
    </row>
    <row r="51" spans="2:26" x14ac:dyDescent="0.2">
      <c r="B51" s="132"/>
      <c r="C51" s="10"/>
      <c r="N51" s="13"/>
      <c r="O51" s="134"/>
      <c r="R51" s="4" t="s">
        <v>288</v>
      </c>
      <c r="S51" s="4" t="s">
        <v>289</v>
      </c>
      <c r="T51" s="4" t="s">
        <v>290</v>
      </c>
    </row>
    <row r="52" spans="2:26" ht="15" customHeight="1" x14ac:dyDescent="0.2">
      <c r="B52" s="132"/>
      <c r="C52" s="10"/>
      <c r="I52" s="184"/>
      <c r="J52" s="184"/>
      <c r="K52" s="184"/>
      <c r="L52" s="184"/>
      <c r="N52" s="13"/>
      <c r="O52" s="134"/>
      <c r="R52" s="185">
        <v>46023</v>
      </c>
      <c r="S52" s="160"/>
      <c r="T52" s="160"/>
    </row>
    <row r="53" spans="2:26" ht="15" customHeight="1" x14ac:dyDescent="0.2">
      <c r="B53" s="132"/>
      <c r="C53" s="10"/>
      <c r="I53" s="184"/>
      <c r="J53" s="184"/>
      <c r="K53" s="184"/>
      <c r="L53" s="184"/>
      <c r="N53" s="13"/>
      <c r="O53" s="134"/>
      <c r="R53" s="185">
        <v>46054</v>
      </c>
      <c r="S53" s="160"/>
      <c r="T53" s="160"/>
    </row>
    <row r="54" spans="2:26" ht="15" customHeight="1" x14ac:dyDescent="0.2">
      <c r="B54" s="132"/>
      <c r="C54" s="10"/>
      <c r="I54" s="184"/>
      <c r="J54" s="184"/>
      <c r="K54" s="184"/>
      <c r="L54" s="184"/>
      <c r="N54" s="13"/>
      <c r="O54" s="134"/>
      <c r="R54" s="185">
        <v>46082</v>
      </c>
      <c r="S54" s="160"/>
      <c r="T54" s="160"/>
    </row>
    <row r="55" spans="2:26" ht="15" customHeight="1" x14ac:dyDescent="0.2">
      <c r="B55" s="132"/>
      <c r="C55" s="10"/>
      <c r="I55" s="184"/>
      <c r="J55" s="184"/>
      <c r="K55" s="184"/>
      <c r="L55" s="184"/>
      <c r="N55" s="13"/>
      <c r="O55" s="134"/>
      <c r="R55" s="185">
        <v>46113</v>
      </c>
      <c r="S55" s="160"/>
      <c r="T55" s="160"/>
    </row>
    <row r="56" spans="2:26" ht="15" customHeight="1" x14ac:dyDescent="0.2">
      <c r="B56" s="132"/>
      <c r="C56" s="10"/>
      <c r="I56" s="184"/>
      <c r="J56" s="184"/>
      <c r="K56" s="184"/>
      <c r="L56" s="184"/>
      <c r="N56" s="13"/>
      <c r="O56" s="134"/>
      <c r="R56" s="185">
        <v>46143</v>
      </c>
      <c r="S56" s="160"/>
      <c r="T56" s="160"/>
    </row>
    <row r="57" spans="2:26" ht="15" customHeight="1" x14ac:dyDescent="0.2">
      <c r="B57" s="132"/>
      <c r="C57" s="10"/>
      <c r="N57" s="13"/>
      <c r="O57" s="134"/>
      <c r="R57" s="185">
        <v>46174</v>
      </c>
      <c r="S57" s="160"/>
      <c r="T57" s="160"/>
    </row>
    <row r="58" spans="2:26" x14ac:dyDescent="0.2">
      <c r="B58" s="132"/>
      <c r="C58" s="10"/>
      <c r="N58" s="13"/>
      <c r="O58" s="134"/>
      <c r="R58" s="185">
        <v>46204</v>
      </c>
      <c r="S58" s="160"/>
      <c r="T58" s="160"/>
    </row>
    <row r="59" spans="2:26" x14ac:dyDescent="0.2">
      <c r="B59" s="132"/>
      <c r="C59" s="10"/>
      <c r="N59" s="13"/>
      <c r="O59" s="134"/>
      <c r="R59" s="185"/>
      <c r="S59" s="160"/>
      <c r="T59" s="160"/>
    </row>
    <row r="60" spans="2:26" x14ac:dyDescent="0.2">
      <c r="B60" s="132"/>
      <c r="C60" s="10"/>
      <c r="N60" s="13"/>
      <c r="O60" s="134"/>
      <c r="R60" s="185"/>
      <c r="S60" s="160"/>
      <c r="T60" s="160"/>
      <c r="V60" s="4" t="s">
        <v>291</v>
      </c>
      <c r="W60" s="4" t="s">
        <v>292</v>
      </c>
      <c r="X60" s="4" t="s">
        <v>293</v>
      </c>
    </row>
    <row r="61" spans="2:26" ht="15" x14ac:dyDescent="0.25">
      <c r="B61" s="132"/>
      <c r="C61" s="10"/>
      <c r="D61" s="186"/>
      <c r="E61" s="186"/>
      <c r="F61" s="186"/>
      <c r="G61" s="186"/>
      <c r="N61" s="13"/>
      <c r="O61" s="134"/>
      <c r="P61"/>
      <c r="R61" s="185"/>
      <c r="S61" s="160"/>
      <c r="T61" s="160"/>
      <c r="U61" s="185">
        <v>46023</v>
      </c>
      <c r="V61" s="187"/>
      <c r="W61" s="187"/>
      <c r="X61" s="187"/>
    </row>
    <row r="62" spans="2:26" x14ac:dyDescent="0.2">
      <c r="B62" s="132"/>
      <c r="C62" s="10"/>
      <c r="N62" s="13"/>
      <c r="O62" s="134"/>
      <c r="R62" s="185"/>
      <c r="S62" s="160"/>
      <c r="T62" s="160"/>
      <c r="U62" s="185">
        <v>46054</v>
      </c>
      <c r="V62" s="187"/>
      <c r="W62" s="187"/>
      <c r="X62" s="187"/>
      <c r="Y62" s="78">
        <f>SUM(V62:X62)</f>
        <v>0</v>
      </c>
      <c r="Z62" s="78"/>
    </row>
    <row r="63" spans="2:26" x14ac:dyDescent="0.2">
      <c r="B63" s="132"/>
      <c r="C63" s="10"/>
      <c r="N63" s="13"/>
      <c r="O63" s="134"/>
      <c r="R63" s="185"/>
      <c r="S63" s="160"/>
      <c r="T63" s="160"/>
      <c r="U63" s="185">
        <v>46082</v>
      </c>
      <c r="V63" s="187"/>
      <c r="W63" s="187"/>
      <c r="X63" s="187"/>
      <c r="Y63" s="78">
        <f>SUM(V63:X63)</f>
        <v>0</v>
      </c>
      <c r="Z63" s="78"/>
    </row>
    <row r="64" spans="2:26" x14ac:dyDescent="0.2">
      <c r="B64" s="132"/>
      <c r="C64" s="10"/>
      <c r="D64" s="200"/>
      <c r="E64" s="200"/>
      <c r="F64" s="200"/>
      <c r="G64" s="200"/>
      <c r="N64" s="13"/>
      <c r="O64" s="134"/>
      <c r="R64" s="185"/>
      <c r="S64" s="160"/>
      <c r="T64" s="160"/>
      <c r="U64" s="185">
        <v>46113</v>
      </c>
      <c r="V64" s="188"/>
      <c r="W64" s="188"/>
      <c r="X64" s="188"/>
      <c r="Y64" s="189">
        <f>SUM(V64:X64)</f>
        <v>0</v>
      </c>
    </row>
    <row r="65" spans="1:25" ht="13.5" x14ac:dyDescent="0.2">
      <c r="B65" s="132"/>
      <c r="C65" s="10"/>
      <c r="D65" s="201"/>
      <c r="E65" s="202"/>
      <c r="F65" s="202"/>
      <c r="G65" s="186"/>
      <c r="N65" s="13"/>
      <c r="O65" s="134"/>
      <c r="R65" s="185"/>
      <c r="S65" s="160"/>
      <c r="T65" s="160"/>
      <c r="U65" s="185">
        <v>46143</v>
      </c>
      <c r="V65" s="187"/>
      <c r="W65" s="187"/>
      <c r="X65" s="187"/>
      <c r="Y65" s="78">
        <v>31</v>
      </c>
    </row>
    <row r="66" spans="1:25" ht="13.5" x14ac:dyDescent="0.2">
      <c r="B66" s="132"/>
      <c r="C66" s="10"/>
      <c r="D66" s="201"/>
      <c r="E66" s="203"/>
      <c r="F66" s="203"/>
      <c r="G66" s="186"/>
      <c r="N66" s="13"/>
      <c r="O66" s="134"/>
      <c r="R66" s="185"/>
      <c r="S66" s="160"/>
      <c r="T66" s="160"/>
      <c r="U66" s="185">
        <v>46174</v>
      </c>
      <c r="V66" s="187"/>
      <c r="W66" s="187"/>
      <c r="X66" s="187"/>
    </row>
    <row r="67" spans="1:25" ht="15" customHeight="1" x14ac:dyDescent="0.2">
      <c r="B67" s="132"/>
      <c r="C67" s="10"/>
      <c r="D67" s="201"/>
      <c r="E67" s="203"/>
      <c r="F67" s="203"/>
      <c r="G67" s="186"/>
      <c r="N67" s="13"/>
      <c r="O67" s="134"/>
      <c r="R67" s="185"/>
      <c r="S67" s="160"/>
      <c r="T67" s="160"/>
      <c r="U67" s="185">
        <v>46204</v>
      </c>
      <c r="V67" s="187"/>
      <c r="W67" s="187"/>
      <c r="X67" s="187"/>
    </row>
    <row r="68" spans="1:25" ht="15" customHeight="1" x14ac:dyDescent="0.2">
      <c r="B68" s="132"/>
      <c r="C68" s="10"/>
      <c r="D68" s="201"/>
      <c r="E68" s="190"/>
      <c r="F68" s="190"/>
      <c r="G68" s="186"/>
      <c r="N68" s="13"/>
      <c r="O68" s="134"/>
      <c r="R68" s="185"/>
      <c r="S68" s="160"/>
      <c r="T68" s="160"/>
      <c r="U68" s="185"/>
      <c r="V68" s="187"/>
      <c r="W68" s="187"/>
      <c r="X68" s="187"/>
    </row>
    <row r="69" spans="1:25" ht="15" customHeight="1" x14ac:dyDescent="0.2">
      <c r="B69" s="132"/>
      <c r="C69" s="10"/>
      <c r="D69" s="201"/>
      <c r="E69" s="203"/>
      <c r="F69" s="203"/>
      <c r="G69" s="186"/>
      <c r="N69" s="13"/>
      <c r="O69" s="134"/>
      <c r="R69" s="185"/>
      <c r="S69" s="160"/>
      <c r="T69" s="160"/>
      <c r="U69" s="185"/>
      <c r="V69" s="187"/>
      <c r="W69" s="187"/>
      <c r="X69" s="187"/>
    </row>
    <row r="70" spans="1:25" ht="15" customHeight="1" x14ac:dyDescent="0.2">
      <c r="B70" s="132"/>
      <c r="C70" s="10"/>
      <c r="N70" s="13"/>
      <c r="O70" s="134"/>
      <c r="R70" s="185"/>
      <c r="U70" s="185"/>
      <c r="V70" s="187"/>
      <c r="W70" s="187"/>
      <c r="X70" s="187"/>
    </row>
    <row r="71" spans="1:25" x14ac:dyDescent="0.2">
      <c r="B71" s="132"/>
      <c r="C71" s="10"/>
      <c r="N71" s="13"/>
      <c r="O71" s="134"/>
      <c r="R71" s="185"/>
      <c r="S71" s="191"/>
      <c r="T71" s="191"/>
      <c r="U71" s="185"/>
      <c r="V71" s="187"/>
      <c r="W71" s="187"/>
      <c r="X71" s="187"/>
    </row>
    <row r="72" spans="1:25" ht="8.25" customHeight="1" x14ac:dyDescent="0.2">
      <c r="B72" s="132"/>
      <c r="C72" s="10"/>
      <c r="N72" s="13"/>
      <c r="O72" s="134"/>
      <c r="R72" s="185"/>
      <c r="S72" s="192"/>
      <c r="T72" s="192"/>
      <c r="U72" s="193"/>
      <c r="V72" s="194"/>
      <c r="W72" s="194"/>
      <c r="X72" s="194"/>
    </row>
    <row r="73" spans="1:25" ht="15" x14ac:dyDescent="0.25">
      <c r="B73" s="132"/>
      <c r="C73" s="10"/>
      <c r="N73" s="13"/>
      <c r="O73" s="134"/>
      <c r="R73" s="185"/>
      <c r="S73" s="195"/>
      <c r="T73" s="195"/>
      <c r="U73" s="185"/>
      <c r="V73" s="187"/>
      <c r="W73" s="187"/>
      <c r="X73" s="187"/>
    </row>
    <row r="74" spans="1:25" x14ac:dyDescent="0.2">
      <c r="B74" s="132"/>
      <c r="C74" s="10"/>
      <c r="N74" s="13"/>
      <c r="O74" s="134"/>
      <c r="R74" s="185"/>
      <c r="S74" s="191"/>
      <c r="T74" s="191"/>
      <c r="U74" s="185"/>
      <c r="V74" s="187"/>
      <c r="W74" s="187"/>
      <c r="X74" s="187"/>
    </row>
    <row r="75" spans="1:25" ht="13.5" thickBot="1" x14ac:dyDescent="0.25">
      <c r="B75" s="132"/>
      <c r="C75" s="16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109"/>
      <c r="O75" s="134"/>
      <c r="R75" s="185"/>
      <c r="S75" s="191"/>
      <c r="T75" s="191"/>
      <c r="U75" s="185"/>
      <c r="V75" s="187"/>
      <c r="W75" s="187"/>
      <c r="X75" s="187"/>
    </row>
    <row r="76" spans="1:25" ht="5.45" customHeight="1" thickBot="1" x14ac:dyDescent="0.25">
      <c r="B76" s="196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8"/>
      <c r="R76" s="185"/>
      <c r="U76" s="185"/>
      <c r="V76" s="187"/>
      <c r="W76" s="187"/>
      <c r="X76" s="187"/>
    </row>
    <row r="77" spans="1:25" ht="14.25" customHeight="1" x14ac:dyDescent="0.2">
      <c r="R77" s="185"/>
      <c r="U77" s="185"/>
      <c r="V77" s="187"/>
      <c r="W77" s="187"/>
      <c r="X77" s="187"/>
    </row>
    <row r="78" spans="1:25" x14ac:dyDescent="0.2">
      <c r="R78" s="185"/>
      <c r="U78" s="185"/>
      <c r="V78" s="187"/>
      <c r="W78" s="187"/>
      <c r="X78" s="187"/>
    </row>
    <row r="79" spans="1:25" x14ac:dyDescent="0.2">
      <c r="R79" s="185"/>
      <c r="U79" s="185"/>
      <c r="V79" s="187"/>
      <c r="W79" s="187"/>
      <c r="X79" s="187"/>
    </row>
    <row r="80" spans="1:25" x14ac:dyDescent="0.2">
      <c r="A80" s="199"/>
      <c r="R80" s="185"/>
      <c r="U80" s="185"/>
      <c r="V80" s="187"/>
      <c r="W80" s="187"/>
      <c r="X80" s="187"/>
    </row>
    <row r="81" spans="11:24" x14ac:dyDescent="0.2">
      <c r="L81" s="191"/>
      <c r="R81" s="185"/>
      <c r="U81" s="185"/>
      <c r="V81" s="187"/>
      <c r="W81" s="187"/>
      <c r="X81" s="187"/>
    </row>
    <row r="82" spans="11:24" x14ac:dyDescent="0.2">
      <c r="R82" s="185"/>
      <c r="U82" s="185"/>
      <c r="V82" s="187"/>
      <c r="W82" s="187"/>
      <c r="X82" s="187"/>
    </row>
    <row r="83" spans="11:24" x14ac:dyDescent="0.2">
      <c r="R83" s="185"/>
      <c r="U83" s="185"/>
      <c r="V83" s="187"/>
      <c r="W83" s="187"/>
      <c r="X83" s="187"/>
    </row>
    <row r="84" spans="11:24" x14ac:dyDescent="0.2">
      <c r="K84" s="191"/>
      <c r="U84" s="193"/>
      <c r="V84" s="187"/>
      <c r="W84" s="187"/>
      <c r="X84" s="187"/>
    </row>
    <row r="85" spans="11:24" ht="15" x14ac:dyDescent="0.25">
      <c r="R85"/>
      <c r="U85" s="185"/>
      <c r="V85" s="187"/>
      <c r="W85" s="187"/>
      <c r="X85" s="187"/>
    </row>
    <row r="86" spans="11:24" x14ac:dyDescent="0.2">
      <c r="U86" s="185"/>
      <c r="V86" s="187"/>
      <c r="W86" s="187"/>
      <c r="X86" s="187"/>
    </row>
    <row r="87" spans="11:24" x14ac:dyDescent="0.2">
      <c r="U87" s="185"/>
      <c r="V87" s="187"/>
      <c r="W87" s="187"/>
      <c r="X87" s="187"/>
    </row>
    <row r="88" spans="11:24" x14ac:dyDescent="0.2">
      <c r="U88" s="185"/>
      <c r="V88" s="187"/>
      <c r="W88" s="187"/>
      <c r="X88" s="187"/>
    </row>
    <row r="89" spans="11:24" x14ac:dyDescent="0.2">
      <c r="U89" s="185"/>
    </row>
    <row r="90" spans="11:24" x14ac:dyDescent="0.2">
      <c r="U90" s="185"/>
    </row>
    <row r="91" spans="11:24" x14ac:dyDescent="0.2">
      <c r="U91" s="185"/>
    </row>
    <row r="92" spans="11:24" x14ac:dyDescent="0.2">
      <c r="U92" s="185"/>
    </row>
    <row r="153" spans="30:30" ht="15" x14ac:dyDescent="0.25">
      <c r="AD153"/>
    </row>
  </sheetData>
  <mergeCells count="24">
    <mergeCell ref="C7:D7"/>
    <mergeCell ref="C8:D8"/>
    <mergeCell ref="C9:D9"/>
    <mergeCell ref="E9:J9"/>
    <mergeCell ref="C2:N5"/>
    <mergeCell ref="K30:M30"/>
    <mergeCell ref="K12:M12"/>
    <mergeCell ref="D13:E14"/>
    <mergeCell ref="F13:H13"/>
    <mergeCell ref="I13:I14"/>
    <mergeCell ref="K13:M13"/>
    <mergeCell ref="K16:M16"/>
    <mergeCell ref="K18:M18"/>
    <mergeCell ref="K21:M21"/>
    <mergeCell ref="K23:M23"/>
    <mergeCell ref="K26:M26"/>
    <mergeCell ref="K28:M28"/>
    <mergeCell ref="D64:G64"/>
    <mergeCell ref="D65:D66"/>
    <mergeCell ref="E65:F65"/>
    <mergeCell ref="E66:F66"/>
    <mergeCell ref="D67:D69"/>
    <mergeCell ref="E67:F67"/>
    <mergeCell ref="E69:F69"/>
  </mergeCells>
  <conditionalFormatting sqref="E15:E49">
    <cfRule type="cellIs" dxfId="0" priority="1" operator="equal">
      <formula>"DOM"</formula>
    </cfRule>
  </conditionalFormatting>
  <printOptions horizontalCentered="1"/>
  <pageMargins left="0.23622047244094491" right="0.23622047244094491" top="0.39370078740157483" bottom="0.39370078740157483" header="0.31496062992125984" footer="0.31496062992125984"/>
  <pageSetup paperSize="8" orientation="portrait" r:id="rId1"/>
  <headerFooter alignWithMargins="0"/>
  <rowBreaks count="1" manualBreakCount="1">
    <brk id="78" min="1" max="14" man="1"/>
  </rowBreaks>
  <colBreaks count="1" manualBreakCount="1">
    <brk id="14" max="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7</vt:i4>
      </vt:variant>
    </vt:vector>
  </HeadingPairs>
  <TitlesOfParts>
    <vt:vector size="12" baseType="lpstr">
      <vt:lpstr>Equipe Técnica Exec.</vt:lpstr>
      <vt:lpstr>efetivo</vt:lpstr>
      <vt:lpstr>Equipamentos</vt:lpstr>
      <vt:lpstr>Ação Corretiva</vt:lpstr>
      <vt:lpstr>Controle Pluv.</vt:lpstr>
      <vt:lpstr>'Ação Corretiva'!Area_de_impressao</vt:lpstr>
      <vt:lpstr>'Controle Pluv.'!Area_de_impressao</vt:lpstr>
      <vt:lpstr>Equipamentos!Area_de_impressao</vt:lpstr>
      <vt:lpstr>'Equipe Técnica Exec.'!Area_de_impressao</vt:lpstr>
      <vt:lpstr>'Ação Corretiva'!Print_Area</vt:lpstr>
      <vt:lpstr>'Controle Pluv.'!Print_Area</vt:lpstr>
      <vt:lpstr>Equipamentos!Print_Area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Secco</dc:creator>
  <cp:lastModifiedBy>Cesar Augusto Secco</cp:lastModifiedBy>
  <cp:lastPrinted>2026-09-20T22:14:05Z</cp:lastPrinted>
  <dcterms:created xsi:type="dcterms:W3CDTF">2026-09-19T10:37:04Z</dcterms:created>
  <dcterms:modified xsi:type="dcterms:W3CDTF">2026-09-20T22:14:12Z</dcterms:modified>
</cp:coreProperties>
</file>